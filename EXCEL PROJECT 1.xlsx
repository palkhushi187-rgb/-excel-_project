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6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charts/chart12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3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4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15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16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 1\"/>
    </mc:Choice>
  </mc:AlternateContent>
  <xr:revisionPtr revIDLastSave="0" documentId="13_ncr:1_{4550C845-111D-4020-83F0-1EC4EE232F23}" xr6:coauthVersionLast="47" xr6:coauthVersionMax="47" xr10:uidLastSave="{00000000-0000-0000-0000-000000000000}"/>
  <bookViews>
    <workbookView xWindow="-108" yWindow="-108" windowWidth="23256" windowHeight="12456" activeTab="2" xr2:uid="{963AD82D-306A-480A-829A-A453D1F0CD2D}"/>
  </bookViews>
  <sheets>
    <sheet name="Sheet1" sheetId="1" r:id="rId1"/>
    <sheet name="Sheet3" sheetId="3" r:id="rId2"/>
    <sheet name="DASHBOARD" sheetId="4" r:id="rId3"/>
    <sheet name="Sheet6" sheetId="6" r:id="rId4"/>
    <sheet name="Sheet2" sheetId="2" r:id="rId5"/>
  </sheets>
  <definedNames>
    <definedName name="_xlnm._FilterDatabase" localSheetId="0" hidden="1">Sheet1!$B$1:$L$321</definedName>
    <definedName name="_xlchart.v1.10" hidden="1">Sheet3!$I$10:$I$48</definedName>
    <definedName name="_xlchart.v1.11" hidden="1">Sheet3!$K$10:$K$48</definedName>
    <definedName name="_xlchart.v1.6" hidden="1">Sheet3!$I$10:$I$48</definedName>
    <definedName name="_xlchart.v1.7" hidden="1">Sheet3!$K$10:$K$48</definedName>
    <definedName name="_xlchart.v2.0" hidden="1">Sheet3!$O$3:$O$12</definedName>
    <definedName name="_xlchart.v2.1" hidden="1">Sheet3!$Q$3:$Q$12</definedName>
    <definedName name="_xlchart.v2.8" hidden="1">Sheet3!$O$3:$O$12</definedName>
    <definedName name="_xlchart.v2.9" hidden="1">Sheet3!$Q$3:$Q$12</definedName>
    <definedName name="_xlchart.v5.12" hidden="1">Sheet3!$F$16</definedName>
    <definedName name="_xlchart.v5.13" hidden="1">Sheet3!$F$17:$F$37</definedName>
    <definedName name="_xlchart.v5.14" hidden="1">Sheet3!$H$16</definedName>
    <definedName name="_xlchart.v5.15" hidden="1">Sheet3!$H$17:$H$37</definedName>
    <definedName name="_xlchart.v5.2" hidden="1">Sheet3!$F$16</definedName>
    <definedName name="_xlchart.v5.3" hidden="1">Sheet3!$F$17:$F$37</definedName>
    <definedName name="_xlchart.v5.4" hidden="1">Sheet3!$H$16</definedName>
    <definedName name="_xlchart.v5.5" hidden="1">Sheet3!$H$17:$H$37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3" l="1"/>
  <c r="K4" i="3"/>
  <c r="G4" i="3"/>
  <c r="E4" i="3"/>
  <c r="D4" i="3"/>
  <c r="D5" i="3" s="1"/>
  <c r="J322" i="1"/>
  <c r="C23" i="3"/>
  <c r="C24" i="3" s="1"/>
  <c r="C22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17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10" i="3"/>
  <c r="D11" i="3"/>
  <c r="D12" i="3"/>
  <c r="D13" i="3"/>
  <c r="D14" i="3"/>
  <c r="D15" i="3"/>
  <c r="D16" i="3"/>
  <c r="D10" i="3"/>
  <c r="P12" i="3"/>
  <c r="P7" i="3"/>
  <c r="P4" i="3"/>
  <c r="P5" i="3"/>
  <c r="P6" i="3"/>
  <c r="P8" i="3"/>
  <c r="P9" i="3"/>
  <c r="P10" i="3"/>
  <c r="P11" i="3"/>
  <c r="P3" i="3"/>
  <c r="J3" i="3"/>
  <c r="J5" i="3"/>
  <c r="J4" i="3"/>
  <c r="D3" i="3"/>
  <c r="D318" i="2"/>
  <c r="J49" i="3" l="1"/>
  <c r="K34" i="3" s="1"/>
  <c r="K33" i="3"/>
  <c r="D23" i="3"/>
  <c r="D22" i="3"/>
  <c r="D17" i="3"/>
  <c r="E10" i="3" s="1"/>
  <c r="G38" i="3"/>
  <c r="H24" i="3" s="1"/>
  <c r="E3" i="3"/>
  <c r="P13" i="3"/>
  <c r="J6" i="3"/>
  <c r="K3" i="3" s="1"/>
  <c r="K31" i="3" l="1"/>
  <c r="K28" i="3"/>
  <c r="K17" i="3"/>
  <c r="K15" i="3"/>
  <c r="K48" i="3"/>
  <c r="K12" i="3"/>
  <c r="K44" i="3"/>
  <c r="K37" i="3"/>
  <c r="K18" i="3"/>
  <c r="K38" i="3"/>
  <c r="K42" i="3"/>
  <c r="K19" i="3"/>
  <c r="K39" i="3"/>
  <c r="K16" i="3"/>
  <c r="K32" i="3"/>
  <c r="K13" i="3"/>
  <c r="K41" i="3"/>
  <c r="K22" i="3"/>
  <c r="K46" i="3"/>
  <c r="K23" i="3"/>
  <c r="K43" i="3"/>
  <c r="K25" i="3"/>
  <c r="K20" i="3"/>
  <c r="K36" i="3"/>
  <c r="K21" i="3"/>
  <c r="K45" i="3"/>
  <c r="K26" i="3"/>
  <c r="K10" i="3"/>
  <c r="K11" i="3"/>
  <c r="K27" i="3"/>
  <c r="K47" i="3"/>
  <c r="K35" i="3"/>
  <c r="K24" i="3"/>
  <c r="K40" i="3"/>
  <c r="K29" i="3"/>
  <c r="K14" i="3"/>
  <c r="K30" i="3"/>
  <c r="H18" i="3"/>
  <c r="H28" i="3"/>
  <c r="H32" i="3"/>
  <c r="H27" i="3"/>
  <c r="H34" i="3"/>
  <c r="H31" i="3"/>
  <c r="H25" i="3"/>
  <c r="E12" i="3"/>
  <c r="H26" i="3"/>
  <c r="H35" i="3"/>
  <c r="H29" i="3"/>
  <c r="H36" i="3"/>
  <c r="H33" i="3"/>
  <c r="H30" i="3"/>
  <c r="H19" i="3"/>
  <c r="H37" i="3"/>
  <c r="H20" i="3"/>
  <c r="E15" i="3"/>
  <c r="E11" i="3"/>
  <c r="E13" i="3"/>
  <c r="E14" i="3"/>
  <c r="E16" i="3"/>
  <c r="H22" i="3"/>
  <c r="H17" i="3"/>
  <c r="H23" i="3"/>
  <c r="H21" i="3"/>
  <c r="Q6" i="3"/>
  <c r="Q12" i="3"/>
  <c r="Q9" i="3"/>
  <c r="Q4" i="3"/>
  <c r="Q3" i="3"/>
  <c r="Q5" i="3"/>
  <c r="Q8" i="3"/>
  <c r="Q7" i="3"/>
  <c r="Q10" i="3"/>
  <c r="Q11" i="3"/>
</calcChain>
</file>

<file path=xl/sharedStrings.xml><?xml version="1.0" encoding="utf-8"?>
<sst xmlns="http://schemas.openxmlformats.org/spreadsheetml/2006/main" count="2733" uniqueCount="423">
  <si>
    <t>Name</t>
  </si>
  <si>
    <t>Category</t>
  </si>
  <si>
    <t>Product Name</t>
  </si>
  <si>
    <t>Region</t>
  </si>
  <si>
    <t>City</t>
  </si>
  <si>
    <t>State</t>
  </si>
  <si>
    <t>Gender</t>
  </si>
  <si>
    <t>Price</t>
  </si>
  <si>
    <t>amaunt</t>
  </si>
  <si>
    <t>Bharat Innovations</t>
  </si>
  <si>
    <t>Electronic</t>
  </si>
  <si>
    <t>Speaker</t>
  </si>
  <si>
    <t>North</t>
  </si>
  <si>
    <t>Delhi</t>
  </si>
  <si>
    <t>Male</t>
  </si>
  <si>
    <t>Green Leaf Enterprises</t>
  </si>
  <si>
    <t>Car accessories</t>
  </si>
  <si>
    <t>West</t>
  </si>
  <si>
    <t>Mumbai</t>
  </si>
  <si>
    <t>Maharashtra</t>
  </si>
  <si>
    <t>Urban Pulse Technologies</t>
  </si>
  <si>
    <t>Earbuds</t>
  </si>
  <si>
    <t>East</t>
  </si>
  <si>
    <t>Kolkata</t>
  </si>
  <si>
    <t>West Bengal</t>
  </si>
  <si>
    <t>Mystic India Exports</t>
  </si>
  <si>
    <t>South</t>
  </si>
  <si>
    <t>Chennai</t>
  </si>
  <si>
    <t>Tamil Nadu</t>
  </si>
  <si>
    <t>Golden Horizon Ventures</t>
  </si>
  <si>
    <t>Fashion</t>
  </si>
  <si>
    <t>Women dress</t>
  </si>
  <si>
    <t>Bengaluru</t>
  </si>
  <si>
    <t>Karnataka</t>
  </si>
  <si>
    <t>Eternal Traditions</t>
  </si>
  <si>
    <t>Hyderabad</t>
  </si>
  <si>
    <t>Telangana</t>
  </si>
  <si>
    <t>Apex Solutions</t>
  </si>
  <si>
    <t>Ahmedabad</t>
  </si>
  <si>
    <t>Gujarat</t>
  </si>
  <si>
    <t>Harmony Foods</t>
  </si>
  <si>
    <t>Pune</t>
  </si>
  <si>
    <t>Pure Essence Skincare</t>
  </si>
  <si>
    <t>Jaipur</t>
  </si>
  <si>
    <t>Rajasthan</t>
  </si>
  <si>
    <t>Female</t>
  </si>
  <si>
    <t>Zenith Construction Co.</t>
  </si>
  <si>
    <t>Surat</t>
  </si>
  <si>
    <t>Radiant Health Systems</t>
  </si>
  <si>
    <t>Lucknow</t>
  </si>
  <si>
    <t>Uttar Pradesh</t>
  </si>
  <si>
    <t>Divine Creations</t>
  </si>
  <si>
    <t>Kanpur</t>
  </si>
  <si>
    <t>Metro Tech Solutions</t>
  </si>
  <si>
    <t>speaker</t>
  </si>
  <si>
    <t>Nagpur</t>
  </si>
  <si>
    <t>True Path Logistics</t>
  </si>
  <si>
    <t>Central</t>
  </si>
  <si>
    <t>Indore</t>
  </si>
  <si>
    <t>Madhya Pradesh</t>
  </si>
  <si>
    <t>Classic Cuisines</t>
  </si>
  <si>
    <t>Male dress</t>
  </si>
  <si>
    <t>Vadodara</t>
  </si>
  <si>
    <t>Bold Ventures</t>
  </si>
  <si>
    <t>Agra</t>
  </si>
  <si>
    <t>Prestige Automobiles</t>
  </si>
  <si>
    <t>TV</t>
  </si>
  <si>
    <t>Meerut</t>
  </si>
  <si>
    <t>Elite Marketing Solutions</t>
  </si>
  <si>
    <t>Coimbatore</t>
  </si>
  <si>
    <t>Natural Bliss Beverages</t>
  </si>
  <si>
    <t>Decor</t>
  </si>
  <si>
    <t>Madurai</t>
  </si>
  <si>
    <t>N/A</t>
  </si>
  <si>
    <t>ss</t>
  </si>
  <si>
    <t>q</t>
  </si>
  <si>
    <t>True Essence Innovations</t>
  </si>
  <si>
    <t>Northeast</t>
  </si>
  <si>
    <t>Guwahati</t>
  </si>
  <si>
    <t>Assam</t>
  </si>
  <si>
    <t>Pinnacle Media Group</t>
  </si>
  <si>
    <t>Amritsar</t>
  </si>
  <si>
    <t>Punjab</t>
  </si>
  <si>
    <t>Legacy Design Co.</t>
  </si>
  <si>
    <t>Raipur</t>
  </si>
  <si>
    <t>Chhattisgarh</t>
  </si>
  <si>
    <t>Apex Health Products</t>
  </si>
  <si>
    <t>Durgapur</t>
  </si>
  <si>
    <t>Zenith Travel Ventures</t>
  </si>
  <si>
    <t>Pure Path Consulting</t>
  </si>
  <si>
    <t>Gwalior</t>
  </si>
  <si>
    <t>Radiance Solutions Co.</t>
  </si>
  <si>
    <t>Jamshedpur</t>
  </si>
  <si>
    <t>Jharkhand</t>
  </si>
  <si>
    <t>Modern Vision Ventures</t>
  </si>
  <si>
    <t>Siliguri</t>
  </si>
  <si>
    <t>Elite Travel Services</t>
  </si>
  <si>
    <t>Mangalore</t>
  </si>
  <si>
    <t>Horizon Creative Solutions</t>
  </si>
  <si>
    <t>Crystal Innovations Group</t>
  </si>
  <si>
    <t>Pinnacle Fitness Studio</t>
  </si>
  <si>
    <t>Stellar Travel Agency</t>
  </si>
  <si>
    <t>Harmony Educational Group</t>
  </si>
  <si>
    <t>Urban Spectrum Solutions</t>
  </si>
  <si>
    <t>Radiant Design Studio</t>
  </si>
  <si>
    <t>Zenith Health Innovations</t>
  </si>
  <si>
    <t>Apex Realty Ventures</t>
  </si>
  <si>
    <t>Legacy Wellness Solutions</t>
  </si>
  <si>
    <t>True Value Ventures</t>
  </si>
  <si>
    <t>Horizon Media Solutions</t>
  </si>
  <si>
    <t>Crystal Clear Designs</t>
  </si>
  <si>
    <t>Pinnacle Innovations Co.</t>
  </si>
  <si>
    <t>Modern Pathways</t>
  </si>
  <si>
    <t>Thane</t>
  </si>
  <si>
    <t>Stellar Finance Co.</t>
  </si>
  <si>
    <t>North (UT)</t>
  </si>
  <si>
    <t>Chandigarh</t>
  </si>
  <si>
    <t>Radiant Spectrum Group</t>
  </si>
  <si>
    <t>Bhopal</t>
  </si>
  <si>
    <t>Harmony Design Ventures</t>
  </si>
  <si>
    <t>Visakhapatnam</t>
  </si>
  <si>
    <t>Andhra Pradesh</t>
  </si>
  <si>
    <t>Elite Edge Products</t>
  </si>
  <si>
    <t>Patna</t>
  </si>
  <si>
    <t>Bihar</t>
  </si>
  <si>
    <t>Zenith Consulting Co.</t>
  </si>
  <si>
    <t>Laptop</t>
  </si>
  <si>
    <t>Apex Wellness Products</t>
  </si>
  <si>
    <t>Urban Vision Solutions</t>
  </si>
  <si>
    <t>Pure Harmony Innovations</t>
  </si>
  <si>
    <t>Legacy Media Group</t>
  </si>
  <si>
    <t>Pinnacle Travel Solutions</t>
  </si>
  <si>
    <t>Jodhpur</t>
  </si>
  <si>
    <t>Horizon Tech Innovations</t>
  </si>
  <si>
    <t>Varanasi</t>
  </si>
  <si>
    <t>Crystal Spectrum Consulting</t>
  </si>
  <si>
    <t>Ranchi</t>
  </si>
  <si>
    <t>Stellar Creative Co.</t>
  </si>
  <si>
    <t>Kochi</t>
  </si>
  <si>
    <t>Kerala</t>
  </si>
  <si>
    <t>Radiance Media Ventures</t>
  </si>
  <si>
    <t>Aurangabad</t>
  </si>
  <si>
    <t>Harmony Health Solutions</t>
  </si>
  <si>
    <t>Shimla</t>
  </si>
  <si>
    <t>Himachal Pradesh</t>
  </si>
  <si>
    <t>Zenith Edge Services</t>
  </si>
  <si>
    <t>Dehradun</t>
  </si>
  <si>
    <t>Uttarakhand</t>
  </si>
  <si>
    <t>Apex Travel Ventures</t>
  </si>
  <si>
    <t>Saree</t>
  </si>
  <si>
    <t>Modern Vision Solutions</t>
  </si>
  <si>
    <t>True Path Consulting</t>
  </si>
  <si>
    <t>Legacy Finance Group</t>
  </si>
  <si>
    <t>Pinnacle Design Ventures</t>
  </si>
  <si>
    <t>Stellar Innovations Co.</t>
  </si>
  <si>
    <t>Radiant Educational Solutions</t>
  </si>
  <si>
    <t>Harmony Marketing Co.</t>
  </si>
  <si>
    <t>Urban Tech Innovations</t>
  </si>
  <si>
    <t>Crystal Wellness Group</t>
  </si>
  <si>
    <t>Zenith Creative Solutions</t>
  </si>
  <si>
    <t>Apex Media Co.</t>
  </si>
  <si>
    <t>Pure Vision Solutions</t>
  </si>
  <si>
    <t>Suit</t>
  </si>
  <si>
    <t>Legacy Health Ventures</t>
  </si>
  <si>
    <t>Pinnacle Spectrum Co.</t>
  </si>
  <si>
    <t>Stellar Travel Products</t>
  </si>
  <si>
    <t>Radiance Finance Services</t>
  </si>
  <si>
    <t>Harmony Edge Solutions</t>
  </si>
  <si>
    <t>Modern Travel Agency</t>
  </si>
  <si>
    <t>Crystal Path Consulting</t>
  </si>
  <si>
    <t>Zenith Educational Services</t>
  </si>
  <si>
    <t>Apex Innovations Co.</t>
  </si>
  <si>
    <t>Pure Harmony Health</t>
  </si>
  <si>
    <t>Legacy Travel Ventures</t>
  </si>
  <si>
    <t>Pinnacle Media Solutions</t>
  </si>
  <si>
    <t>Stellar Design Group</t>
  </si>
  <si>
    <t>Radiant Tech Solutions</t>
  </si>
  <si>
    <t>Horizon Ventures Co.</t>
  </si>
  <si>
    <t>Elite Creative Solutions</t>
  </si>
  <si>
    <t>Zenith Wellness Services</t>
  </si>
  <si>
    <t>Apex Travel Innovations</t>
  </si>
  <si>
    <t>Modern Health Products</t>
  </si>
  <si>
    <t>Harmony Finance Group</t>
  </si>
  <si>
    <t>Pure Vision Consulting</t>
  </si>
  <si>
    <t>Legacy Spectrum Co.</t>
  </si>
  <si>
    <t>Pinnacle Design Solutions</t>
  </si>
  <si>
    <t>Stellar Media Services</t>
  </si>
  <si>
    <t>Radiant Innovations Group</t>
  </si>
  <si>
    <t>Horizon Path Ventures</t>
  </si>
  <si>
    <t>Zenith Tech Co.</t>
  </si>
  <si>
    <t>Home décor</t>
  </si>
  <si>
    <t>palestine</t>
  </si>
  <si>
    <t>Quantity</t>
  </si>
  <si>
    <t>Rate</t>
  </si>
  <si>
    <t>Amount</t>
  </si>
  <si>
    <t>VSVS</t>
  </si>
  <si>
    <t>Sacred Roots Apparel</t>
  </si>
  <si>
    <t>Quantum Finance Services</t>
  </si>
  <si>
    <t>Brilliant Minds Academy</t>
  </si>
  <si>
    <t>Visionary Holdings</t>
  </si>
  <si>
    <t>Stellar Design Studio</t>
  </si>
  <si>
    <t>Crystal Clear Solutions</t>
  </si>
  <si>
    <t>Modern Trends Fashion</t>
  </si>
  <si>
    <t>Heritage Crafts</t>
  </si>
  <si>
    <t>Future Insights Analytics</t>
  </si>
  <si>
    <t>Emerald Estate Developers</t>
  </si>
  <si>
    <t>Starlight Media Group</t>
  </si>
  <si>
    <t>Supreme Electronics</t>
  </si>
  <si>
    <t>Optimum Wellness</t>
  </si>
  <si>
    <t>Zenith Books Publishing</t>
  </si>
  <si>
    <t>Pinnacle Innovations</t>
  </si>
  <si>
    <t>Apex Travel Services</t>
  </si>
  <si>
    <t>Golden Era Realty</t>
  </si>
  <si>
    <t>Radiant Jewelry</t>
  </si>
  <si>
    <t>Infinity Ventures</t>
  </si>
  <si>
    <t>Royal Taste Foods</t>
  </si>
  <si>
    <t>Harmony Homes</t>
  </si>
  <si>
    <t>Urban Edge Consulting</t>
  </si>
  <si>
    <t>Prime Tech Innovations</t>
  </si>
  <si>
    <t>Legacy Designs</t>
  </si>
  <si>
    <t>Virtue Enterprises</t>
  </si>
  <si>
    <t>Radiant Health Club</t>
  </si>
  <si>
    <t>Bright Horizon Ventures</t>
  </si>
  <si>
    <t>Modern Lifestyle Products</t>
  </si>
  <si>
    <t>Nexus Trading Co.</t>
  </si>
  <si>
    <t>Radiance Spa</t>
  </si>
  <si>
    <t>Absolute Solutions</t>
  </si>
  <si>
    <t>Verve Fitness Studio</t>
  </si>
  <si>
    <t>Sparkle Cleaners</t>
  </si>
  <si>
    <t>Global Reach Logistics</t>
  </si>
  <si>
    <t>Noble Path Finance</t>
  </si>
  <si>
    <t>Dynamic Events Management</t>
  </si>
  <si>
    <t>Crystal Waters Resort</t>
  </si>
  <si>
    <t>Excellence Tutors</t>
  </si>
  <si>
    <t>Horizon Builders</t>
  </si>
  <si>
    <t>Synergy Tech Solutions</t>
  </si>
  <si>
    <t>Classic Heritage Crafts</t>
  </si>
  <si>
    <t>Prime Focus Media</t>
  </si>
  <si>
    <t>Noble Nutraceuticals</t>
  </si>
  <si>
    <t>Supreme Travel Agency</t>
  </si>
  <si>
    <t>Future Vision Tech</t>
  </si>
  <si>
    <t>Urban Groove Apparel</t>
  </si>
  <si>
    <t>Echo Real Estate</t>
  </si>
  <si>
    <t>Pinnacle Health Products</t>
  </si>
  <si>
    <t>Apex Auto Care</t>
  </si>
  <si>
    <t>Royal Glow Cosmetics</t>
  </si>
  <si>
    <t>Zenith Culinary Arts</t>
  </si>
  <si>
    <t>Visionary Tours</t>
  </si>
  <si>
    <t>Horizon Wellness</t>
  </si>
  <si>
    <t>True Value Electronics</t>
  </si>
  <si>
    <t>Harmony Homes Realty</t>
  </si>
  <si>
    <t>Stellar Advertising</t>
  </si>
  <si>
    <t>Radiant Enterprise Solutions</t>
  </si>
  <si>
    <t>Modern Trends Retail</t>
  </si>
  <si>
    <t>Global Spectrum Consulting</t>
  </si>
  <si>
    <t>Elite Essence Products</t>
  </si>
  <si>
    <t>Dynamic Creations</t>
  </si>
  <si>
    <t>Quantum Design Studio</t>
  </si>
  <si>
    <t>Infinite Solutions</t>
  </si>
  <si>
    <t>Apex Construction</t>
  </si>
  <si>
    <t>Legacy Innovations</t>
  </si>
  <si>
    <t>Pure Harmony Foods</t>
  </si>
  <si>
    <t>Zenith Security Systems</t>
  </si>
  <si>
    <t>Crystal Clear Beverages</t>
  </si>
  <si>
    <t>Metro Line Tech</t>
  </si>
  <si>
    <t>Urban Pulse Consulting</t>
  </si>
  <si>
    <t>Radiant Vision Studios</t>
  </si>
  <si>
    <t>Noble Travel Services</t>
  </si>
  <si>
    <t>Bright Future Academy</t>
  </si>
  <si>
    <t>Synergy Solutions Group</t>
  </si>
  <si>
    <t>Visionary Health Systems</t>
  </si>
  <si>
    <t>Apex Retailers</t>
  </si>
  <si>
    <t>Prestige Property Developers</t>
  </si>
  <si>
    <t>Classic Trends Fashion</t>
  </si>
  <si>
    <t>Harmony Ventures</t>
  </si>
  <si>
    <t>Stellar Realty</t>
  </si>
  <si>
    <t>Future Path Technologies</t>
  </si>
  <si>
    <t>Elite Edge Services</t>
  </si>
  <si>
    <t>Radiance Health and Wellness</t>
  </si>
  <si>
    <t>Legacy Auto Works</t>
  </si>
  <si>
    <t>Prime Essence Creations</t>
  </si>
  <si>
    <t>Quantum Ventures</t>
  </si>
  <si>
    <t>Horizon Tech Solutions</t>
  </si>
  <si>
    <t>Urban Legends Apparel</t>
  </si>
  <si>
    <t>Pure Bliss Beverages</t>
  </si>
  <si>
    <t>Noble Heights Builders</t>
  </si>
  <si>
    <t>Radiant Foods</t>
  </si>
  <si>
    <t>Zenith Financial Services</t>
  </si>
  <si>
    <t>Legacy Design Group</t>
  </si>
  <si>
    <t>Supreme Wellness</t>
  </si>
  <si>
    <t>Harmony Tech Innovations</t>
  </si>
  <si>
    <t>Stellar Education Services</t>
  </si>
  <si>
    <t>Visionary Health Products</t>
  </si>
  <si>
    <t>Crystal Innovations</t>
  </si>
  <si>
    <t>Future Trends Retail</t>
  </si>
  <si>
    <t>Radiant Horizon Ventures</t>
  </si>
  <si>
    <t>Urban Edge Realty</t>
  </si>
  <si>
    <t>Prime Focus Innovations</t>
  </si>
  <si>
    <t>Elite Spectrum Consulting</t>
  </si>
  <si>
    <t>Dynamic Design Studio</t>
  </si>
  <si>
    <t>Apex Wellness Solutions</t>
  </si>
  <si>
    <t>Royal Crest Foods</t>
  </si>
  <si>
    <t>Zenith Travels</t>
  </si>
  <si>
    <t>Modern Harmony Products</t>
  </si>
  <si>
    <t>Horizon Builders &amp; Developers</t>
  </si>
  <si>
    <t>Radiance Tech Solutions</t>
  </si>
  <si>
    <t>Legacy Apparel</t>
  </si>
  <si>
    <t>Pinnacle Education Group</t>
  </si>
  <si>
    <t>Noble Innovations</t>
  </si>
  <si>
    <t>Crystal Clear Realty</t>
  </si>
  <si>
    <t>Future Vision Realty</t>
  </si>
  <si>
    <t>Urban Pulse Media</t>
  </si>
  <si>
    <t>True Essence Health</t>
  </si>
  <si>
    <t>Apex Enterprise Solutions</t>
  </si>
  <si>
    <t>Radiant Vision Realty</t>
  </si>
  <si>
    <t>Harmony Consulting Group</t>
  </si>
  <si>
    <t>Zenith Tech Ventures</t>
  </si>
  <si>
    <t>Stellar Health Services</t>
  </si>
  <si>
    <t>Pure Path Foods</t>
  </si>
  <si>
    <t>Prestige Solutions</t>
  </si>
  <si>
    <t>Bright Horizon Realty</t>
  </si>
  <si>
    <t>Quantum Media Group</t>
  </si>
  <si>
    <t>Legacy Builders</t>
  </si>
  <si>
    <t>Apex Spa &amp; Wellness</t>
  </si>
  <si>
    <t>Radiant Travel Services</t>
  </si>
  <si>
    <t>Modern Trends Consulting</t>
  </si>
  <si>
    <t>Global Horizon Ventures</t>
  </si>
  <si>
    <t>Elite Enterprises</t>
  </si>
  <si>
    <t>Urban Wave Solutions</t>
  </si>
  <si>
    <t>Pinnacle Health Innovations</t>
  </si>
  <si>
    <t>Horizon Fashion</t>
  </si>
  <si>
    <t>Crystal Essence Beverages</t>
  </si>
  <si>
    <t>Dynamic Pathways</t>
  </si>
  <si>
    <t>Visionary Realty Solutions</t>
  </si>
  <si>
    <t>Radiance Apparel</t>
  </si>
  <si>
    <t>Zenith Design Group</t>
  </si>
  <si>
    <t>Apex Publishing House</t>
  </si>
  <si>
    <t>True Value Consulting</t>
  </si>
  <si>
    <t>Future Path Ventures</t>
  </si>
  <si>
    <t>Stellar Tech Services</t>
  </si>
  <si>
    <t>Legacy Travel Agency</t>
  </si>
  <si>
    <t>Harmony Innovations</t>
  </si>
  <si>
    <t>Pure Essence Solutions</t>
  </si>
  <si>
    <t>Elite Media Group</t>
  </si>
  <si>
    <t>Radiant Construction</t>
  </si>
  <si>
    <t>Pinnacle Finance</t>
  </si>
  <si>
    <t>Horizon Tech Ventures</t>
  </si>
  <si>
    <t>Crystal Health Solutions</t>
  </si>
  <si>
    <t>Modern Horizons Consulting</t>
  </si>
  <si>
    <t>Apex Realty Services</t>
  </si>
  <si>
    <t>Zenith Educational Group</t>
  </si>
  <si>
    <t>True Path Ventures</t>
  </si>
  <si>
    <t>Radiance Media</t>
  </si>
  <si>
    <t>Legacy Health Systems</t>
  </si>
  <si>
    <t>Urban Focus Products</t>
  </si>
  <si>
    <t>Elite Edge Consulting</t>
  </si>
  <si>
    <t>Stellar Travel Solutions</t>
  </si>
  <si>
    <t>Harmony Tech Ventures</t>
  </si>
  <si>
    <t>Pure Harmony Solutions</t>
  </si>
  <si>
    <t>Radiant Fitness Studio</t>
  </si>
  <si>
    <t>Zenith Finance Co.</t>
  </si>
  <si>
    <t>Apex Events Management</t>
  </si>
  <si>
    <t>Visionary Innovations</t>
  </si>
  <si>
    <t>Horizon Design Studio</t>
  </si>
  <si>
    <t>Modern Spectrum Solutions</t>
  </si>
  <si>
    <t>Legacy Tech Products</t>
  </si>
  <si>
    <t>Pinnacle Wellness Services</t>
  </si>
  <si>
    <t>Urban Insight Consulting</t>
  </si>
  <si>
    <t>Crystal Horizons</t>
  </si>
  <si>
    <t>Radiant Apparel</t>
  </si>
  <si>
    <t>True Value Products</t>
  </si>
  <si>
    <t>Apex Creative Solutions</t>
  </si>
  <si>
    <t>Zenith Health Products</t>
  </si>
  <si>
    <t>Stellar Media Group</t>
  </si>
  <si>
    <t>Harmony Finance Co.</t>
  </si>
  <si>
    <t>Pure Vision Ventures</t>
  </si>
  <si>
    <t>Radiance Solutions Group</t>
  </si>
  <si>
    <t>Legacy Travel Services</t>
  </si>
  <si>
    <t>Elite Spectrum Media</t>
  </si>
  <si>
    <t>Modern Edge Solutions</t>
  </si>
  <si>
    <t>Pinnacle Design Studio</t>
  </si>
  <si>
    <t>Horizon Health Solutions</t>
  </si>
  <si>
    <t>Crystal Clear Consulting</t>
  </si>
  <si>
    <t>Apex Marketing Solutions</t>
  </si>
  <si>
    <t>Zenith Innovations</t>
  </si>
  <si>
    <t>Stellar Wellness Products</t>
  </si>
  <si>
    <t>Radiant Consulting Group</t>
  </si>
  <si>
    <t>Harmony Ventures Co.</t>
  </si>
  <si>
    <t>Urban Path Technologies</t>
  </si>
  <si>
    <t>Apex Finance Ventures</t>
  </si>
  <si>
    <t>Legacy Travel Co.</t>
  </si>
  <si>
    <t>Pinnacle Innovations Group</t>
  </si>
  <si>
    <t>Radiance Design Co.</t>
  </si>
  <si>
    <t>Zenith Path Solutions</t>
  </si>
  <si>
    <t>Apex Educational Group</t>
  </si>
  <si>
    <t>Modern Wellness Co.</t>
  </si>
  <si>
    <t>Pure Spectrum Innovations</t>
  </si>
  <si>
    <t>Legacy Media Solutions</t>
  </si>
  <si>
    <t>Pinnacle Travel Co.</t>
  </si>
  <si>
    <t>Stellar Consulting Services</t>
  </si>
  <si>
    <t>Radiant Ventures</t>
  </si>
  <si>
    <t>Harmony Tech Co.</t>
  </si>
  <si>
    <t>Zenith Creative Ventures</t>
  </si>
  <si>
    <t>Apex Health Services</t>
  </si>
  <si>
    <t>Pure Vision Media</t>
  </si>
  <si>
    <t>Legacy Innovations Group</t>
  </si>
  <si>
    <t>Pinnacle Consulting Co.</t>
  </si>
  <si>
    <t>Stellar Finance Group</t>
  </si>
  <si>
    <t>Radiant Solutions Co.</t>
  </si>
  <si>
    <t>sales</t>
  </si>
  <si>
    <t xml:space="preserve">TARGET </t>
  </si>
  <si>
    <t>ACTUAL</t>
  </si>
  <si>
    <t>TOTAL</t>
  </si>
  <si>
    <t>CATEGORY</t>
  </si>
  <si>
    <t xml:space="preserve"> </t>
  </si>
  <si>
    <t>PRODUCT NAME</t>
  </si>
  <si>
    <t>Woman dress</t>
  </si>
  <si>
    <t>REGION</t>
  </si>
  <si>
    <t>CITY</t>
  </si>
  <si>
    <t>STATE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</si>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</sst>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omic Sans MS"/>
      <family val="4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  <font>
      <sz val="1"/>
      <color theme="1"/>
      <name val="Comic Sans MS"/>
      <family val="4"/>
    </font>
    <font>
      <b/>
      <strike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double">
        <color rgb="FF000000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6" xfId="0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right" wrapText="1"/>
    </xf>
    <xf numFmtId="0" fontId="0" fillId="0" borderId="8" xfId="0" applyBorder="1"/>
    <xf numFmtId="0" fontId="1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3" xfId="0" applyBorder="1"/>
    <xf numFmtId="0" fontId="2" fillId="0" borderId="12" xfId="0" applyFont="1" applyBorder="1" applyAlignment="1">
      <alignment horizontal="center" vertical="center" wrapText="1"/>
    </xf>
    <xf numFmtId="0" fontId="0" fillId="0" borderId="13" xfId="0" applyNumberFormat="1" applyBorder="1"/>
    <xf numFmtId="9" fontId="0" fillId="0" borderId="13" xfId="1" applyFont="1" applyBorder="1"/>
    <xf numFmtId="0" fontId="11" fillId="4" borderId="8" xfId="0" applyFont="1" applyFill="1" applyBorder="1" applyAlignment="1">
      <alignment horizontal="center" vertical="center" wrapText="1"/>
    </xf>
    <xf numFmtId="0" fontId="3" fillId="0" borderId="8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9" fillId="5" borderId="13" xfId="0" applyFont="1" applyFill="1" applyBorder="1"/>
    <xf numFmtId="0" fontId="9" fillId="5" borderId="14" xfId="0" applyFont="1" applyFill="1" applyBorder="1"/>
    <xf numFmtId="9" fontId="0" fillId="0" borderId="14" xfId="1" applyFont="1" applyBorder="1"/>
    <xf numFmtId="9" fontId="0" fillId="0" borderId="13" xfId="0" applyNumberFormat="1" applyBorder="1"/>
    <xf numFmtId="0" fontId="0" fillId="0" borderId="16" xfId="0" applyBorder="1"/>
    <xf numFmtId="9" fontId="0" fillId="0" borderId="0" xfId="1" applyFont="1"/>
    <xf numFmtId="0" fontId="10" fillId="3" borderId="1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  <color rgb="FFFFFF00"/>
      <color rgb="FFCC33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3244907407407408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06-445A-802A-DAC932BD5976}"/>
              </c:ext>
            </c:extLst>
          </c:dPt>
          <c:val>
            <c:numRef>
              <c:f>Sheet3!$C$3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9-4632-853A-6D613B52DD6F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06-445A-802A-DAC932BD5976}"/>
              </c:ext>
            </c:extLst>
          </c:dPt>
          <c:val>
            <c:numRef>
              <c:f>Sheet3!$C$4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9-4632-853A-6D613B52DD6F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06-445A-802A-DAC932BD5976}"/>
              </c:ext>
            </c:extLst>
          </c:dPt>
          <c:val>
            <c:numRef>
              <c:f>Sheet3!$E$4</c:f>
              <c:numCache>
                <c:formatCode>0%</c:formatCode>
                <c:ptCount val="1"/>
                <c:pt idx="0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59-4632-853A-6D613B52D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Sheet3!$C$3</c:f>
              <c:strCache>
                <c:ptCount val="1"/>
                <c:pt idx="0">
                  <c:v>TARGET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6BF-4463-A92D-33156C3A8445}"/>
              </c:ext>
            </c:extLst>
          </c:dPt>
          <c:val>
            <c:numRef>
              <c:f>Sheet3!$C$4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B-431F-95E6-D8BD2AA5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DC9-4E1C-B8F2-D78AB5C456DF}"/>
              </c:ext>
            </c:extLst>
          </c:dPt>
          <c:cat>
            <c:numRef>
              <c:f>Sheet3!$A$4</c:f>
              <c:numCache>
                <c:formatCode>General</c:formatCode>
                <c:ptCount val="1"/>
              </c:numCache>
            </c:numRef>
          </c:cat>
          <c:val>
            <c:numRef>
              <c:f>Sheet3!$C$3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6-43B7-8597-5B14AD985F9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DC9-4E1C-B8F2-D78AB5C456DF}"/>
              </c:ext>
            </c:extLst>
          </c:dPt>
          <c:cat>
            <c:numRef>
              <c:f>Sheet3!$A$4</c:f>
              <c:numCache>
                <c:formatCode>General</c:formatCode>
                <c:ptCount val="1"/>
              </c:numCache>
            </c:numRef>
          </c:cat>
          <c:val>
            <c:numRef>
              <c:f>Sheet3!$C$4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36-43B7-8597-5B14AD985F91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DC9-4E1C-B8F2-D78AB5C456DF}"/>
              </c:ext>
            </c:extLst>
          </c:dPt>
          <c:cat>
            <c:numRef>
              <c:f>Sheet3!$A$4</c:f>
              <c:numCache>
                <c:formatCode>General</c:formatCode>
                <c:ptCount val="1"/>
              </c:numCache>
            </c:numRef>
          </c:cat>
          <c:val>
            <c:numRef>
              <c:f>Sheet3!$E$4</c:f>
              <c:numCache>
                <c:formatCode>0%</c:formatCode>
                <c:ptCount val="1"/>
                <c:pt idx="0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36-43B7-8597-5B14AD985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1111111111111109E-2"/>
          <c:y val="0.3244907407407408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EB-4595-8FE6-9E9F0DA3921C}"/>
              </c:ext>
            </c:extLst>
          </c:dPt>
          <c:val>
            <c:numRef>
              <c:f>Sheet3!$C$4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0-48D4-BE7F-8DC678F657B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EB-4595-8FE6-9E9F0DA3921C}"/>
              </c:ext>
            </c:extLst>
          </c:dPt>
          <c:val>
            <c:numRef>
              <c:f>Sheet3!$C$3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0-48D4-BE7F-8DC678F657B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EB-4595-8FE6-9E9F0DA3921C}"/>
              </c:ext>
            </c:extLst>
          </c:dPt>
          <c:val>
            <c:numRef>
              <c:f>Sheet3!$C$4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0-48D4-BE7F-8DC678F657B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EB-4595-8FE6-9E9F0DA3921C}"/>
              </c:ext>
            </c:extLst>
          </c:dPt>
          <c:val>
            <c:numRef>
              <c:f>Sheet3!$E$4</c:f>
              <c:numCache>
                <c:formatCode>0%</c:formatCode>
                <c:ptCount val="1"/>
                <c:pt idx="0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0-48D4-BE7F-8DC678F65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897546897546896E-2"/>
          <c:y val="0.31228335497728754"/>
          <c:w val="0.92063492063492058"/>
          <c:h val="0.6877166450227124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35-4C62-BDD0-8011382039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835-4C62-BDD0-801138203958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35-4C62-BDD0-801138203958}"/>
              </c:ext>
            </c:extLst>
          </c:dPt>
          <c:dLbls>
            <c:dLbl>
              <c:idx val="0"/>
              <c:layout>
                <c:manualLayout>
                  <c:x val="1.3888888888888888E-2"/>
                  <c:y val="-0.42592592592592593"/>
                </c:manualLayout>
              </c:layout>
              <c:spPr>
                <a:pattFill prst="pct10">
                  <a:fgClr>
                    <a:schemeClr val="dk1"/>
                  </a:fgClr>
                  <a:bgClr>
                    <a:schemeClr val="bg1"/>
                  </a:bgClr>
                </a:patt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35-4C62-BDD0-801138203958}"/>
                </c:ext>
              </c:extLst>
            </c:dLbl>
            <c:dLbl>
              <c:idx val="1"/>
              <c:layout>
                <c:manualLayout>
                  <c:x val="2.7777777777777779E-3"/>
                  <c:y val="-0.319444444444444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35-4C62-BDD0-801138203958}"/>
                </c:ext>
              </c:extLst>
            </c:dLbl>
            <c:dLbl>
              <c:idx val="2"/>
              <c:layout>
                <c:manualLayout>
                  <c:x val="-1.0185067526415994E-16"/>
                  <c:y val="-0.125000000000000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35-4C62-BDD0-8011382039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(Sheet3!$I$3,Sheet3!$I$4,Sheet3!$I$5)</c:f>
              <c:strCache>
                <c:ptCount val="3"/>
                <c:pt idx="0">
                  <c:v>Electronic</c:v>
                </c:pt>
                <c:pt idx="1">
                  <c:v>Decor</c:v>
                </c:pt>
                <c:pt idx="2">
                  <c:v>Fashion</c:v>
                </c:pt>
              </c:strCache>
            </c:strRef>
          </c:cat>
          <c:val>
            <c:numRef>
              <c:f>(Sheet3!$K$3,Sheet3!$K$4,Sheet3!$K$5)</c:f>
              <c:numCache>
                <c:formatCode>0%</c:formatCode>
                <c:ptCount val="3"/>
                <c:pt idx="0">
                  <c:v>0.54125784097369123</c:v>
                </c:pt>
                <c:pt idx="1">
                  <c:v>0.38500699576202224</c:v>
                </c:pt>
                <c:pt idx="2">
                  <c:v>7.3735163264286557E-2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5-4C62-BDD0-8011382039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86811824"/>
        <c:axId val="586810512"/>
      </c:barChart>
      <c:catAx>
        <c:axId val="58681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810512"/>
        <c:crosses val="autoZero"/>
        <c:auto val="1"/>
        <c:lblAlgn val="ctr"/>
        <c:lblOffset val="100"/>
        <c:noMultiLvlLbl val="0"/>
      </c:catAx>
      <c:valAx>
        <c:axId val="58681051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86811824"/>
        <c:crosses val="autoZero"/>
        <c:crossBetween val="between"/>
      </c:valAx>
      <c:spPr>
        <a:noFill/>
        <a:ln>
          <a:solidFill>
            <a:srgbClr val="FFFF00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rgbClr val="FFFF00"/>
            </a:solidFill>
            <a:ln>
              <a:solidFill>
                <a:srgbClr val="FFFF66"/>
              </a:solidFill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Sheet3!$C$10:$C$16</c:f>
              <c:strCache>
                <c:ptCount val="7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 (UT)</c:v>
                </c:pt>
              </c:strCache>
            </c:strRef>
          </c:cat>
          <c:val>
            <c:numRef>
              <c:f>Sheet3!$E$10:$E$16</c:f>
              <c:numCache>
                <c:formatCode>0%</c:formatCode>
                <c:ptCount val="7"/>
                <c:pt idx="0">
                  <c:v>0.29045849401240892</c:v>
                </c:pt>
                <c:pt idx="1">
                  <c:v>0.26610075169811448</c:v>
                </c:pt>
                <c:pt idx="2">
                  <c:v>0.10777194491034425</c:v>
                </c:pt>
                <c:pt idx="3">
                  <c:v>0.22718458071192407</c:v>
                </c:pt>
                <c:pt idx="4">
                  <c:v>8.7952258549743076E-2</c:v>
                </c:pt>
                <c:pt idx="5">
                  <c:v>1.9436641039665355E-2</c:v>
                </c:pt>
                <c:pt idx="6">
                  <c:v>1.0953290777998264E-3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8-4C0E-B341-DE96AC9BF4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1987800"/>
        <c:axId val="601985504"/>
      </c:radarChart>
      <c:catAx>
        <c:axId val="60198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5504"/>
        <c:crosses val="autoZero"/>
        <c:auto val="1"/>
        <c:lblAlgn val="ctr"/>
        <c:lblOffset val="100"/>
        <c:noMultiLvlLbl val="0"/>
      </c:catAx>
      <c:valAx>
        <c:axId val="601985504"/>
        <c:scaling>
          <c:orientation val="minMax"/>
        </c:scaling>
        <c:delete val="1"/>
        <c:axPos val="l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01987800"/>
        <c:crosses val="autoZero"/>
        <c:crossBetween val="between"/>
      </c:valAx>
      <c:spPr>
        <a:noFill/>
        <a:ln>
          <a:solidFill>
            <a:schemeClr val="bg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alpha val="23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Sheet3!$C$22:$D$22</c:f>
              <c:numCache>
                <c:formatCode>0%</c:formatCode>
                <c:ptCount val="2"/>
                <c:pt idx="0" formatCode="General">
                  <c:v>809895418</c:v>
                </c:pt>
                <c:pt idx="1">
                  <c:v>0.61463357102494187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2-4617-AAB3-E4107350075E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Sheet3!$C$24</c:f>
              <c:numCache>
                <c:formatCode>General</c:formatCode>
                <c:ptCount val="1"/>
                <c:pt idx="0">
                  <c:v>1317688223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52-4617-AAB3-E41073500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81845240"/>
        <c:axId val="593123032"/>
      </c:barChart>
      <c:catAx>
        <c:axId val="481845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593123032"/>
        <c:crosses val="autoZero"/>
        <c:auto val="1"/>
        <c:lblAlgn val="ctr"/>
        <c:lblOffset val="100"/>
        <c:noMultiLvlLbl val="0"/>
      </c:catAx>
      <c:valAx>
        <c:axId val="593123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184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092557772039"/>
          <c:y val="0"/>
          <c:w val="0.84298907442227955"/>
          <c:h val="0.905555525508796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val>
            <c:numRef>
              <c:f>Sheet3!$C$23:$D$23</c:f>
              <c:numCache>
                <c:formatCode>0%</c:formatCode>
                <c:ptCount val="2"/>
                <c:pt idx="0" formatCode="General">
                  <c:v>507792805</c:v>
                </c:pt>
                <c:pt idx="1">
                  <c:v>0.38536642897505807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4-4EB5-8AC0-F05188158A4A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285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Sheet3!$C$24</c:f>
              <c:numCache>
                <c:formatCode>General</c:formatCode>
                <c:ptCount val="1"/>
                <c:pt idx="0">
                  <c:v>1317688223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4-4EB5-8AC0-F05188158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908075072"/>
        <c:axId val="908071792"/>
      </c:barChart>
      <c:catAx>
        <c:axId val="908075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08071792"/>
        <c:crosses val="autoZero"/>
        <c:auto val="1"/>
        <c:lblAlgn val="ctr"/>
        <c:lblOffset val="100"/>
        <c:noMultiLvlLbl val="0"/>
      </c:catAx>
      <c:valAx>
        <c:axId val="90807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075072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10000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635658914728682E-2"/>
          <c:y val="0.25146310432569974"/>
          <c:w val="0.95736434108527135"/>
          <c:h val="0.56485293823004945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22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0CB-4A86-B8B1-3A591673FC7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0CB-4A86-B8B1-3A591673FC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CB-4A86-B8B1-3A591673FC7A}"/>
                </c:ext>
              </c:extLst>
            </c:dLbl>
            <c:dLbl>
              <c:idx val="1"/>
              <c:layout>
                <c:manualLayout>
                  <c:x val="3.2657022523347373E-2"/>
                  <c:y val="-0.1017075394201679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
</a:t>
                    </a:r>
                    <a:fld id="{6E4C2F29-6A39-4325-8B8D-4C5513263EFA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0CB-4A86-B8B1-3A591673FC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(Sheet3!$C$3,Sheet3!$C$4)</c:f>
              <c:strCache>
                <c:ptCount val="2"/>
                <c:pt idx="0">
                  <c:v>TARGET </c:v>
                </c:pt>
                <c:pt idx="1">
                  <c:v>ACTUAL</c:v>
                </c:pt>
              </c:strCache>
            </c:strRef>
          </c:cat>
          <c:val>
            <c:numRef>
              <c:f>(Sheet3!$E$3,Sheet3!$E$4)</c:f>
              <c:numCache>
                <c:formatCode>0%</c:formatCode>
                <c:ptCount val="2"/>
                <c:pt idx="0">
                  <c:v>0.62944092444315258</c:v>
                </c:pt>
                <c:pt idx="1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B-4A86-B8B1-3A591673FC7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solidFill>
        <a:schemeClr val="bg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353335969990072E-3"/>
          <c:y val="0.17766807995154452"/>
          <c:w val="0.98781564975610925"/>
          <c:h val="0.82233192004845546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FFFF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12700"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F3-4904-B13E-F71790B615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F3-4904-B13E-F71790B61593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 w="12700">
                <a:solidFill>
                  <a:srgbClr val="FFFF00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F3-4904-B13E-F71790B61593}"/>
              </c:ext>
            </c:extLst>
          </c:dPt>
          <c:dLbls>
            <c:dLbl>
              <c:idx val="0"/>
              <c:layout>
                <c:manualLayout>
                  <c:x val="-7.6103500761035186E-3"/>
                  <c:y val="-0.4230769230769230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F3-4904-B13E-F71790B61593}"/>
                </c:ext>
              </c:extLst>
            </c:dLbl>
            <c:dLbl>
              <c:idx val="1"/>
              <c:layout>
                <c:manualLayout>
                  <c:x val="3.8051750380517502E-3"/>
                  <c:y val="-0.314102564102564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F3-4904-B13E-F71790B61593}"/>
                </c:ext>
              </c:extLst>
            </c:dLbl>
            <c:dLbl>
              <c:idx val="2"/>
              <c:layout>
                <c:manualLayout>
                  <c:x val="0"/>
                  <c:y val="-0.1602564102564101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F3-4904-B13E-F71790B615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(Sheet3!$I$3,Sheet3!$I$4,Sheet3!$I$5)</c:f>
              <c:strCache>
                <c:ptCount val="3"/>
                <c:pt idx="0">
                  <c:v>Electronic</c:v>
                </c:pt>
                <c:pt idx="1">
                  <c:v>Decor</c:v>
                </c:pt>
                <c:pt idx="2">
                  <c:v>Fashion</c:v>
                </c:pt>
              </c:strCache>
            </c:strRef>
          </c:cat>
          <c:val>
            <c:numRef>
              <c:f>(Sheet3!$K$3,Sheet3!$K$4,Sheet3!$K$5)</c:f>
              <c:numCache>
                <c:formatCode>0%</c:formatCode>
                <c:ptCount val="3"/>
                <c:pt idx="0">
                  <c:v>0.54125784097369123</c:v>
                </c:pt>
                <c:pt idx="1">
                  <c:v>0.38500699576202224</c:v>
                </c:pt>
                <c:pt idx="2">
                  <c:v>7.3735163264286557E-2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F3-4904-B13E-F71790B615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81"/>
        <c:axId val="586811824"/>
        <c:axId val="586810512"/>
      </c:barChart>
      <c:catAx>
        <c:axId val="58681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6810512"/>
        <c:crosses val="autoZero"/>
        <c:auto val="1"/>
        <c:lblAlgn val="ctr"/>
        <c:lblOffset val="100"/>
        <c:noMultiLvlLbl val="0"/>
      </c:catAx>
      <c:valAx>
        <c:axId val="586810512"/>
        <c:scaling>
          <c:orientation val="minMax"/>
        </c:scaling>
        <c:delete val="1"/>
        <c:axPos val="l"/>
        <c:numFmt formatCode="0%" sourceLinked="1"/>
        <c:majorTickMark val="out"/>
        <c:minorTickMark val="none"/>
        <c:tickLblPos val="nextTo"/>
        <c:crossAx val="586811824"/>
        <c:crosses val="autoZero"/>
        <c:crossBetween val="between"/>
      </c:valAx>
      <c:spPr>
        <a:noFill/>
        <a:ln w="12700">
          <a:solidFill>
            <a:sysClr val="windowText" lastClr="000000"/>
          </a:solidFill>
        </a:ln>
        <a:effectLst/>
      </c:spPr>
    </c:plotArea>
    <c:legend>
      <c:legendPos val="t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spPr>
            <a:solidFill>
              <a:srgbClr val="FFFF00"/>
            </a:solidFill>
            <a:ln>
              <a:solidFill>
                <a:srgbClr val="FFFF66"/>
              </a:solidFill>
            </a:ln>
            <a:effectLst/>
          </c:spPr>
          <c:dLbls>
            <c:dLbl>
              <c:idx val="0"/>
              <c:layout>
                <c:manualLayout>
                  <c:x val="9.569377990430622E-2"/>
                  <c:y val="5.43463143998476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DE-4651-93C5-90920337A702}"/>
                </c:ext>
              </c:extLst>
            </c:dLbl>
            <c:dLbl>
              <c:idx val="1"/>
              <c:layout>
                <c:manualLayout>
                  <c:x val="-3.9872408293460922E-3"/>
                  <c:y val="-6.52155772798171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DE-4651-93C5-90920337A7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Sheet3!$C$10:$C$16</c:f>
              <c:strCache>
                <c:ptCount val="7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  <c:pt idx="4">
                  <c:v>Central</c:v>
                </c:pt>
                <c:pt idx="5">
                  <c:v>Northeast</c:v>
                </c:pt>
                <c:pt idx="6">
                  <c:v>North (UT)</c:v>
                </c:pt>
              </c:strCache>
            </c:strRef>
          </c:cat>
          <c:val>
            <c:numRef>
              <c:f>Sheet3!$E$10:$E$16</c:f>
              <c:numCache>
                <c:formatCode>0%</c:formatCode>
                <c:ptCount val="7"/>
                <c:pt idx="0">
                  <c:v>0.29045849401240892</c:v>
                </c:pt>
                <c:pt idx="1">
                  <c:v>0.26610075169811448</c:v>
                </c:pt>
                <c:pt idx="2">
                  <c:v>0.10777194491034425</c:v>
                </c:pt>
                <c:pt idx="3">
                  <c:v>0.22718458071192407</c:v>
                </c:pt>
                <c:pt idx="4">
                  <c:v>8.7952258549743076E-2</c:v>
                </c:pt>
                <c:pt idx="5">
                  <c:v>1.9436641039665355E-2</c:v>
                </c:pt>
                <c:pt idx="6">
                  <c:v>1.0953290777998264E-3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E-4651-93C5-90920337A7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01987800"/>
        <c:axId val="601985504"/>
      </c:radarChart>
      <c:catAx>
        <c:axId val="601987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85504"/>
        <c:crosses val="autoZero"/>
        <c:auto val="1"/>
        <c:lblAlgn val="ctr"/>
        <c:lblOffset val="100"/>
        <c:noMultiLvlLbl val="0"/>
      </c:catAx>
      <c:valAx>
        <c:axId val="601985504"/>
        <c:scaling>
          <c:orientation val="minMax"/>
        </c:scaling>
        <c:delete val="1"/>
        <c:axPos val="l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601987800"/>
        <c:crosses val="autoZero"/>
        <c:crossBetween val="between"/>
      </c:valAx>
      <c:spPr>
        <a:noFill/>
        <a:ln>
          <a:solidFill>
            <a:schemeClr val="bg1">
              <a:alpha val="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bg1">
          <a:alpha val="23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01084534244544"/>
          <c:y val="5.6855697915809342E-3"/>
          <c:w val="0.84298907442227955"/>
          <c:h val="0.90555552550879681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08075072"/>
        <c:axId val="908071792"/>
      </c:barChart>
      <c:catAx>
        <c:axId val="908075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08071792"/>
        <c:crosses val="autoZero"/>
        <c:auto val="1"/>
        <c:lblAlgn val="ctr"/>
        <c:lblOffset val="100"/>
        <c:noMultiLvlLbl val="0"/>
      </c:catAx>
      <c:valAx>
        <c:axId val="90807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075072"/>
        <c:crosses val="autoZero"/>
        <c:crossBetween val="between"/>
      </c:valAx>
      <c:spPr>
        <a:noFill/>
        <a:ln w="25400">
          <a:noFill/>
        </a:ln>
        <a:effectLst>
          <a:outerShdw blurRad="50800" dist="50800" dir="5400000" algn="ctr" rotWithShape="0">
            <a:srgbClr val="000000">
              <a:alpha val="10000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  <a:effectLst/>
              </a:rPr>
              <a:t>39%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layout>
        <c:manualLayout>
          <c:xMode val="edge"/>
          <c:yMode val="edge"/>
          <c:x val="0.1781276025656732"/>
          <c:y val="4.3431053203040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79183295925702E-2"/>
          <c:y val="9.4444474491203204E-2"/>
          <c:w val="0.84298907442227955"/>
          <c:h val="0.905555525508796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Sheet3!$B$23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val>
            <c:numRef>
              <c:f>Sheet3!$C$23:$D$23</c:f>
              <c:numCache>
                <c:formatCode>0%</c:formatCode>
                <c:ptCount val="2"/>
                <c:pt idx="0" formatCode="General">
                  <c:v>507792805</c:v>
                </c:pt>
                <c:pt idx="1">
                  <c:v>0.38536642897505807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3-4D95-AAF0-8BCBFC92F37E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28575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val>
            <c:numRef>
              <c:f>Sheet3!$C$24</c:f>
              <c:numCache>
                <c:formatCode>General</c:formatCode>
                <c:ptCount val="1"/>
                <c:pt idx="0">
                  <c:v>1317688223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3-4D95-AAF0-8BCBFC92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908075072"/>
        <c:axId val="908071792"/>
      </c:barChart>
      <c:catAx>
        <c:axId val="908075072"/>
        <c:scaling>
          <c:orientation val="minMax"/>
        </c:scaling>
        <c:delete val="1"/>
        <c:axPos val="b"/>
        <c:majorTickMark val="none"/>
        <c:minorTickMark val="none"/>
        <c:tickLblPos val="nextTo"/>
        <c:crossAx val="908071792"/>
        <c:crosses val="autoZero"/>
        <c:auto val="1"/>
        <c:lblAlgn val="ctr"/>
        <c:lblOffset val="100"/>
        <c:noMultiLvlLbl val="0"/>
      </c:catAx>
      <c:valAx>
        <c:axId val="9080717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8075072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rgbClr val="000000">
              <a:alpha val="10000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bg1"/>
                </a:solidFill>
                <a:effectLst/>
              </a:rPr>
              <a:t>61%</a:t>
            </a:r>
            <a:r>
              <a:rPr lang="en-IN" sz="1400" b="0" i="0" u="none" strike="noStrike" baseline="0">
                <a:solidFill>
                  <a:schemeClr val="bg1"/>
                </a:solidFill>
              </a:rPr>
              <a:t> </a:t>
            </a:r>
            <a:endParaRPr lang="en-IN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26126650213499436"/>
          <c:y val="6.097560975609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Sheet3!$B$22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Sheet3!$C$22:$D$22</c:f>
              <c:numCache>
                <c:formatCode>0%</c:formatCode>
                <c:ptCount val="2"/>
                <c:pt idx="0" formatCode="General">
                  <c:v>809895418</c:v>
                </c:pt>
                <c:pt idx="1">
                  <c:v>0.61463357102494187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8-45F8-8ED9-C94993992D9B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TOTAL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 w="19050">
              <a:solidFill>
                <a:schemeClr val="tx1"/>
              </a:solidFill>
            </a:ln>
            <a:effectLst/>
          </c:spPr>
          <c:invertIfNegative val="0"/>
          <c:val>
            <c:numRef>
              <c:f>Sheet3!$C$24</c:f>
              <c:numCache>
                <c:formatCode>General</c:formatCode>
                <c:ptCount val="1"/>
                <c:pt idx="0">
                  <c:v>1317688223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8-45F8-8ED9-C94993992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81845240"/>
        <c:axId val="593123032"/>
      </c:barChart>
      <c:catAx>
        <c:axId val="481845240"/>
        <c:scaling>
          <c:orientation val="minMax"/>
        </c:scaling>
        <c:delete val="1"/>
        <c:axPos val="b"/>
        <c:majorTickMark val="none"/>
        <c:minorTickMark val="none"/>
        <c:tickLblPos val="nextTo"/>
        <c:crossAx val="593123032"/>
        <c:crosses val="autoZero"/>
        <c:auto val="1"/>
        <c:lblAlgn val="ctr"/>
        <c:lblOffset val="100"/>
        <c:noMultiLvlLbl val="0"/>
      </c:catAx>
      <c:valAx>
        <c:axId val="593123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1845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22"/>
            <c:spPr>
              <a:solidFill>
                <a:schemeClr val="accent4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0C-4ABD-8F8D-22FB70D7CC4E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0C-4ABD-8F8D-22FB70D7CC4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0C-4ABD-8F8D-22FB70D7CC4E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bg1"/>
                        </a:solidFill>
                      </a:rPr>
                      <a:t>
</a:t>
                    </a:r>
                    <a:fld id="{6E4C2F29-6A39-4325-8B8D-4C5513263EFA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680446194225723E-2"/>
                      <c:h val="0.1156018518518518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5B0C-4ABD-8F8D-22FB70D7CC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(Sheet3!$C$3,Sheet3!$C$4)</c:f>
              <c:strCache>
                <c:ptCount val="2"/>
                <c:pt idx="0">
                  <c:v>TARGET </c:v>
                </c:pt>
                <c:pt idx="1">
                  <c:v>ACTUAL</c:v>
                </c:pt>
              </c:strCache>
            </c:strRef>
          </c:cat>
          <c:val>
            <c:numRef>
              <c:f>(Sheet3!$E$3,Sheet3!$E$4)</c:f>
              <c:numCache>
                <c:formatCode>0%</c:formatCode>
                <c:ptCount val="2"/>
                <c:pt idx="0">
                  <c:v>0.62944092444315258</c:v>
                </c:pt>
                <c:pt idx="1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0C-4ABD-8F8D-22FB70D7CC4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22"/>
            <c:spPr>
              <a:solidFill>
                <a:schemeClr val="accent4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6E-4261-985D-0705B819BC4B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6E-4261-985D-0705B819BC4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6E-4261-985D-0705B819BC4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
</a:t>
                    </a:r>
                    <a:fld id="{6E4C2F29-6A39-4325-8B8D-4C5513263EFA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6E-4261-985D-0705B819BC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(Sheet3!$C$3,Sheet3!$C$4)</c:f>
              <c:strCache>
                <c:ptCount val="2"/>
                <c:pt idx="0">
                  <c:v>TARGET </c:v>
                </c:pt>
                <c:pt idx="1">
                  <c:v>ACTUAL</c:v>
                </c:pt>
              </c:strCache>
            </c:strRef>
          </c:cat>
          <c:val>
            <c:numRef>
              <c:f>(Sheet3!$E$3,Sheet3!$E$4)</c:f>
              <c:numCache>
                <c:formatCode>0%</c:formatCode>
                <c:ptCount val="2"/>
                <c:pt idx="0">
                  <c:v>0.62944092444315258</c:v>
                </c:pt>
                <c:pt idx="1">
                  <c:v>0.37055907555684742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6E-4261-985D-0705B819BC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plotSurface>
          <cx:spPr>
            <a:ln>
              <a:solidFill>
                <a:srgbClr val="FFFF00"/>
              </a:solidFill>
            </a:ln>
          </cx:spPr>
        </cx:plotSurface>
        <cx:series layoutId="funnel" uniqueId="{918F19FF-3709-4B86-8705-637D7308B26F}">
          <cx:spPr>
            <a:ln w="9525">
              <a:solidFill>
                <a:srgbClr val="FFFF00"/>
              </a:solidFill>
            </a:ln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solidFill>
              <a:schemeClr val="bg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plotArea>
      <cx:plotAreaRegion>
        <cx:series layoutId="treemap" uniqueId="{A42E2EE3-586B-4EBB-B91D-F43656A58658}">
          <cx:spPr>
            <a:ln>
              <a:solidFill>
                <a:schemeClr val="bg1">
                  <a:alpha val="78000"/>
                </a:schemeClr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ysClr val="windowText" lastClr="000000"/>
                    </a:solidFill>
                  </a:defRPr>
                </a:pPr>
                <a:endPara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_xlchart.v5.3</cx:f>
        <cx:nf>_xlchart.v5.2</cx:nf>
      </cx:strDim>
      <cx:numDim type="colorVal">
        <cx:f>_xlchart.v5.5</cx:f>
        <cx:nf>_xlchart.v5.4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C58652DA-AC02-4B71-B43F-FE9FE000EF34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85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1H1rc9XIrvZfofj8OuO+uC+79pyqbS8vJyEJAQIM88UVQvClfWm73b79+qM1wFTSOyFsH3bVS75Q
ZKVlWdIjqSV1r3/ezP+4qW6v+2dzXTXmHzfz78/zYdD/+O03c5Pf1tfmqC5u+ta0n4ejm7b+rf38
ubi5/e1Tfz0VTfYb9hH97Sa/7ofb+fn//BOoZbftWXtzPRRt88re9svrW2OrwXznswc/enb9qS6a
XWGGvrgZ0O/Pd7dVXjx/dtsMxbBcLfr29+f3/uT5s99cQv/20GcV8DXYT7AWiyNGCZE+Y/5fP+j5
s6ptsq8fc36EUEC5CJD864d9e/TFdQ3Ln+TmL16uP33qb42Bd/nr37+X3WMcfnv2/NlNa5vhIK0M
BPf785PmU3H9/Flh2ujLB1F74Prk4q/X/O2+nP/nn84v4MWd39xRhSulpz76N028uO6b6+FaAX8/
SxuIHnHkU0wpflAb7AgxLlEACvvrh3x79Bdt/BBHD2vkzlJHKy/+9Utp5fwaUHht8qH/mXqRRzTA
viCBfEwvvpAE0y9qkcF9vfwgTw9r5t5iRzfnx7+Ubl5fl9dmyK+bb+L5Cf6LHQWCEorlw/6LHImD
UgTlXxTnIOaHOHpYL3eWOlp5ffpLaeX9rRmehbdNdl39RL2A4AOKAp/zewFF8CPJMZP0qwdzofKD
zDysknuLHaW8D38ppVzdVtegkeZnOjF+JHyfBRKJeyrh8sj3ASEy+Oq+4OMvAe1LVPkhVh5WyJ2l
jjqukl9LHdd1UT27uP5kv8nm/+66EDryEUO+Lxx9iCPqcx/7AUDnniJ+iIlHNHFnrasKSKZ+obQr
sSUE+OGbaP7vesD4iEnMEH8k6UJHgeQ+gzz4S3R3UuAf4Odhlfy90NFH8muFj/PrT/ly/eyyv/50
a/KfqBZyFBCBeBCA1zr8oPteSxxhISQj5OvOxInsP87Ww9px1ztKOr/8pUDzdhhgb/vzdcSOJCYB
YOOLihwdCf8oYIwEWDy8X/lhrh5WkbPc0dDbX0tD/zLmuv6J6GFHJKBEQLD/uie5hx6JjwTmsJuR
D2vmSW4e1sjXZY4m/vXml8LKpW3K648/TxXEhz0IhuiB76fCPDiiiAlf+vyLihwP9jQfDyvh2zpH
C5e/VgIc5fn1MBQmu+5/ZlBBR5ixQ677YIFF4COfIgCGj7/p/0sO/KPcPKyR+6sdvURXvxQ69HUF
+8Wiuf0moMcSsP9i5e0USjwKygifnuLhfn3wu3VQcsQgjmH5LVTdz8lFAJGMIoLZV3dKvz36i338
EEcPG8edpY5lnB7/UpYRHTRS/Fy8gu/kWEIkEw+Xd9gRF34ASeJXF+qo5cdYelgvd9c6iol+LcX8
q/mU9/+FDB0FR5CdB5Bh+A/lGFBXkOxQA5Jf6wpOfPtxth5WkLveUdK/fq38LyzAqX1zKo/51P/A
nwVH0CmAtk1AvqTm93dP4M+YLxmj0gl0T7LxsC6+LnNUEL7+pRzYi9v+uvqZBTf/iFIpOOfglu42
1RgUeASGePLVqTk6eJqPh5XwbZ2jhRe/VlvtuKivoZNa/fzdKkFfdqtMPJj8Qa8TE4YRgZz8rx+n
0POfMPawgv6dgqOq41/LZ/21Ab/+yZkYhHzIs3xI09mXqHI/E4OoApVRAona15jj9Np+kKeHFXRv
saObty/+v3ZmD1dw7zam7/3FfzomgKGcgAMoV3/to90PJ6AUwgijnD5cI/3axn+cm4fV8XXZPcb/
yzMBj+9a/t497KDpH/81fnFnZOD7n/71ejAR4iy9Nzdw7y2/JQInn35/jhAkTn8PdRxI3OsK3JPt
339/C43W359LDiUGxEkQEMogH2Dy+bMJtm+/P2fiCEkY6oDsWUIs8gkotGn7If/9OeFH0LWDPhHz
mSTQ8oboZVp7+AjSbeZD605wzCF6Scgevr3aZVstWdv8LYev/3/W2PqyLZrB/P4c6Ogvf3Vg08MI
7AUSyEMLUN9cv4Y5Gvgj9P9MOqetKiQ7ztFOBi/NCAXxv9//P6B7eN4duhIXIzPVzOMhyKs8XNdl
eZ9jNn8ZJvmSW/0H5EErd8mX3FPLNDc8zvuu719PbPWzq2xe28/fZx/CzINigazgLn1Zr0pYlbJY
4sCsrzSqpR/mpAxQ6FO/xiEl3ZDuv/+wx3QA6r/7MAO6L6esYfFsiCCh8EnWh+3CxJ/fpw8lrgdf
xr9Pn8vO16VcWGyRpucITbR+M/mlz84WMTRz4vGV9WG9dBpyyA3KF2Dpd19IC1+P/PDAsZJ8Pm1z
m9qIGpsX8fcfcCD0gNUemnZ3HyCKdfIHS4J4UoZPp2whKY60Mjg/C1Re4nNklVVRZ7pm4aFfUdTt
/SYfe9hMfu8F0UF0DzFwEPUd89a8NiowSxDbLBu7SGCRcII+a0W6SYVdNo11aBfunbVThlRscduK
JvQygWvIEL/HwiNGIw6We4eDKlvqsQomEIHAQUT69jMPpuKJ93uMuOMVWkDqJJYhiJfF8D/8dmnD
dLTly22sO76hEmXBDOmDWJGiuPVh0O+s8Qplo23kHd/QelOguzwI4mrg4zs0dTSc05Vv8zzC8Qx9
NZVa4y6Ih9Zb19ifvbHfMd22fCP7jjfAc4bEUpXgDVpqy2hhbKZh1wGUdt+XzyO+jTngqeU4BaXN
eFJXpktf87ru7DvSrdI/Hbxc8lcQWwg7+f7DHrMkx/fgcvGa1mgvadqFs0tTwLTYu3oYvM+b6HPH
1RjhW3+aA5GsLarjJaNeH86FMv0T2jhY/ANA546wZKtoZfGSJq0n1no/9UiPcTUtqNh1RU7lxsc4
/oTQNhWT9ngyDBYPxw1rGz9eG1TNsS6Gad6Ga+44ja4du5TMtUg0VuuV6pf8ZcOZvPq+Lh6TleM1
JjULNEGOk2BvLuLK9JycZXRpu/cqEGp+QlSPWNRhP3/X8eUi00pwLZK+osuJV6/+S5mhvgq//xKP
kSf3ybdpsfggHJZY3uE59MuZfmBrq+Nt5B33YUfeQhWVsWSsQANDldUxtR7XG7l3nIctSLNUSykS
akYFOljE7IXGX4p14wMcPCvpBZ2cQfoS1V1zolHQTHFf8nW63CSgQ5Z8V70cL8Qgb2aJNHnxjgtj
Luci65Zt/DMHaHzpYf4apn0STehQHA8rmWWYq3ryt0GMORCbi6VjA+55okym6Ymp8SjC0tL+qdh8
8DwPeCTmoGzJysyvJ1Bxly6635UZ4fyy9taRnWZDWqt4zvDS/FHVgvxpm2xqnvDkj+U8zAFeNWcp
b9cJXGElKn2aeyblkNkrCWmdGKaSDmEzlOsYFTnT9V7Na8Z3jE6kfTP6A7MbBewAdEmZx4Xy0qTm
nt2RYuKJ4BV5wj7QASkPiRfft79gHOaiw51MiL/2bbyidBziIF3X6lhLwpeXmanbz9qjU31MV9EE
FzMhuDnHXIjyD6FwEDzByiOeiDlYFk0Z6HYqaKJ5akjEVnmr53nqtvlR5iC56glDy1zypPf0lGQD
olWYEZF92oTjwMGxRT0TZZnRJNOz+BBAdLswvldvc6PBARx3st+OZE3peVwmQQU7mcgiUa+hLfrF
PGFlj6DsMP539wGm6JYAz71IhmVK8Ymgfe9/nDUCxOU499uwKayuQ7wynd3oejV4m1oCx3+QqanA
iHqWMJHWNtQdNnW4WOpt9OCB4z9WuqrOsp7HtgtQzJYx262s9Xbb1O44CZZKvym7eU2MzYZkbXgZ
sl6XT/igRyARONiHAc7cmyFVTUpc1BEeULlLlxZvNCoH+rDraQUq2jXBsG8M/Ry9bzL6VCL5GOsO
mhHTDZ2rbE0yvgzndml8CM9djsqNduPAOS/toEm/rImX1vIEj7PapUTQZJNaqYNmosdADwqoDymm
0US4CU2Nim28UwfNosGrGDmo1RtwHilix5ApTrf5UepAufS93p9SsyYdKqq9kU0WjQFd99+XzAE2
D8QL6uC1SYN8XZE3JZMX3MK2U417OijdJMPE2cY3cCBLRj42pUqnhABwX8uhLWNEW7VtO04dyA4N
pELTyqakpQE7ETKwu3JpNrob6kAWDXWVirW0SWYq+qKoan6u52oj6w5iIVCnSiEyJF1bpijqA2wi
ns8q331fuY+AljqgDdLMKG+FMo9uivlUDdlwZtO02ggqB7JQH/VGZMth39tsMm/I5IvqZdALlm+z
G+KgVqFi7LIRz5AS2jVSOviwyKV5wvAfkQ1xQBuUnqJCpGPcVTkKibE47KS0G1l3QEt0SXFaihEk
733oMeR3jZzTbWolDmaVXnvPM+wr6xR3OAxGtpV1F62BSK3I0RjLCYrG+EDdbBfMQR13Mh/ljzqt
DFCfS5lHVigbMobLjWJ30JrTQLRwGgKoU3zbFbTaZ0W2sbJFHLQqOO4rigyIy9XWScVlDzsvNm/L
DQ5NlLuCmQfC02pRYxwM6RTOaMQh0umwLUQRB6t1rnHTEt/Gzbg24ZQXt7Zc0TapYwenZu0H3eaT
jWuV05DR4IM3GryRuINTPw16suTeEPPOb3ZmLq6NXc1G4g5MOyPnEjJhG5dM5iEriyq0PeYbqTs4
5aT0ssKTwLq06NxAe+Qy5Vm1rUWFHZzOluKGAuVkRXDYPFwbwYKdN3jCbLMZ7EAVd7Osrc7GZKF1
04ce0UGiJzzcbApO2MEqKlLct3MNkTU11aksDdoZVS7xNur4Ppxsn2qSLYFNBkn+RCV+ZSh5tY20
i1SzlPWyeENS5N4FuMcPC+Yby3fYwaksipqjhg9JOeViZ/PgqlVpu02hyMFpo4zXS2Ft4hVDEVUl
P+O487cZ++Fg4F3/BW3hSZtZeHFTzZ+KBb3HQQ1jEBt6RchBqSimzIN4vSRA1gzhik3OwsWQbJvr
RQ5OxyywuaL9kMCYiP8HHcAPhKZY0bZMAzlAtV2F/SptbVK3/bprZ/4xL3S6UewOSFNRdHwsepsE
S79Eda2BdfVU5/VA5IHNwWF44K5OZcNoob16SKDbL8+FydB55aX6/Ta1OhDFAx56uKoCzDFP85DU
0x9cFBtV6mB0pa0s01zZpA9GEiIxf6g6cbmNbwejdKLzVBCg7ZXmitrlPKDmfBNp30FoO6VpNpBs
iP3U8yKvTM+K1d9YH/AdhCKkNV897MUwzvmyXvgH0S/VNtfiOxD1csjT+xZkUuXNqzZr92mdb/Pk
voNOqqeFzFBTj9t1PO4n/IIG2yKo7wBTL8HAWg17O1ZnZ6Kdk6ZPt7VZfQeWRTXMubXAtK7frqON
Sv5um4U4kKxk2etVgRJprj72s3wlVrbNTx3OrdxFu+1GNS8TG5LFlOhqXQaclJaY3TbGHUSSJp2b
spBDYjwYJcCNOpap/GMbbQeRqipMAJeheHFQQHbr+eyaSrItsMH8+X2xgGF3XeVDSM4LNoeBod5O
Sj5uAg6M+N6nLszIBxqMXtyxN327E1DF3iITKh1E5lne0S5fhsQKGOaYiNEh6tjVNuIOJifovy9L
k5oY5fp4qqC335Fy2GQpcL7qvkh6a33lVUBcVMElsfqmoEu/USoOLiUNFr8T0sR9TS4DoD3bcStt
B5poKjghM4KyMSb+mRVZedrRmW2UioPO3NCxgnwWDCVYWbj65duK5ZsSLCodbM7S0klJQP5MlqGM
fJqydochAyo2uRYqHYDqqaYp9GqGJKP62pvG99B8eLvJFN1hrZEQv2cE5GJtFuw6q4qQwHnVTXkE
FIQcW8xHDvXoGRif50vb+qfz2G1EqHAQWtbcpzwnJhGKnFcwcBjD/D/eJnF3vspmPcxc2nFIfF29
ol4VlX2+KUmhwsVn4DVLRmqTYBzgaKpRHyFaft6mTgegC3QUjKgHAwMG7ENm5tOCB2+2kIY++X1d
inFKdVPmVYJytuxE5vuXLVQAX2+i7trhwoqp9qbO22Uom9vT0kf+BcY6sE9YIjmI99+TceKaIly9
hmfGbJV4zAb1yw6hxh4Xauz6/WICi/cwfcvMrguquT3zFqhan2ledvUHOKZA95bh9YRTbwlCuaYW
+rGLp9TLuglmHNVdtxTRmuXp+rFNl8LuG836NrJBOd+QmtIXoy6H06XIxz1J7QQkoGueh35d0PUq
R7AjfqUOne2rphDa7BrL6Qqf9lOU+xArLkqde+sO/toU5wSn7XizTegOhMATdvjQwoizFJUXo1Ty
DBc42zZtQVwQtZ4KWuqPKsGzf8tw90qi7HIb5w6IuD8stccmlZAVInOF6QluzVOt90MYfshUHBBZ
69XZamaVdBq6+ye9WatpJxeT97uJjjI7YZJV+Ydtb+KGvU7CcdcxUImnPRZTNVX7VVfZJvcOnvs+
aPMltYj0RCVjS/Odl67vhxI/JafHIOXEPeRnhVW9VQmrbPEG8jD6UuTZfD2XyDv+vnQee4TjdPxU
8gzrTsVmJort8qHruyIc+z5dT4oJamBPhPBHVO4OEvZYZXZkVRbDdYxK7W0wo3AqvSou6lXgCHLA
8Yk3OhjRA8bljhRmOZ/rtK9AaA32IkXZe3BE2wbAYPTnvro9GFFIedOoBDXyz4FM+4GgJxz0I5pw
hwc5SZVYoWq/U1nHhxNZmWDfCtktMcvGyt+0pyT88PQ7/Y0AaLOi4B409mH0GLpj2R+y49uK4cQd
HjSL7Ipi6cuE82DYQ5YmwjRHefR9W31Msw6Sx8KfM2JRnhRU0L0el3onZPHEFP9jxB0g+0yjquJV
ukNjceqnJKQt2yhzB8YL8SvTDkB6XWmcym5fFzjZJhIHvguMThZGqnSnCvyCB96LjtXhJtLupKDq
/cPRmSLd6XLqTktjhsQLyJttxJ28NQ14Pi7EA2NHmYm17mm4yIpuSi6JO4XoS9Wnge8VCS+MfmH6
+X2XLduOkxB3AjFjPPNGbIukWnC1t3Jojv2uUlfbBOPg01tmuKO27oukKMtup3Nx5vHexNuIH2z/
Dvjn0u+sIa3cDTUt5j3G01vdK1VtFLuDz7yVQ1fRRu6asbtQVZuUfbstiDMHnUs+z1mdQSJVDbYI
G9v40VoFT3jeR6DvTgKOkM+vUBMEEJmxDVfZR5rBGaRtMncQusJYjxkHXUCdo16iJtNtF6Z9I7cN
gMARtvs6lfUCuzQVSCjNtCsORZX2L9pZFdsqp8QdBbSsSRveEbmrpzWc1SvUZk9IBj0id3cIkLIV
wThblido8cj4wi/qAEoSGUz/X8FsVZsUgVxJyLuxDmI243yKukEFI8zUa7bsOyv9Ll41yvB1zQM8
JqkgBd+0iSTUwWElB7ISEZi44HO/D9IBTiF5altXhLgzQWTCZK3UYGIy1XkE/bQrKMLOT8j1MbEe
UrC7KPc6BEMGw2Gn1w/ZSUF8YePcKNPsNpm0O+LYFMXABMr5bu5zBr51KW0T5XDlDLnZ9oDDm915
g35Qdh1TbWPb5jquBZ12WtJNQ03EHXKEbDMgmtQ2RochxynooC1F+aZjY3CO+D7nmo/UpAMQHy0c
VKsM7cK2wtvGAUjgJBI0t9D6s42NcYl0RBQqw7SpPm4TuuOoWiXgrgCSDvGI8zoUngfVqpn622KD
O+GYiUX51CND3I58ClvVZxcVJ8O7Tby7E4500pog1g2xJxsTUbVmcbEE2wTjDjgW/YTapq2GGAby
8WVTz+oj81e+LYNzBxzXIJ+6wY4mbhpWRXBMD8ZfaLptxIO444F26mDIji8mXjhaQ+WrPuJqY65C
HWMPlGUe6YD1tYYBj2lYPvt9vq36SNzZQG/VdZdWxMZZUPQ7OeV5BE5t2zgvoY6xr9bStBghseIa
fzQ1eVPneFtDBu6vv+8D8jqv21ZTGxd+74ezxmmcpkhF3zf1QwB6YHvrzgVWSHVYtUTsWVoF42Vu
66LeLwxX/Z72GqLg9x/zSBAhzkY3HUlKUQkvATdeersRB1nUzLYNt1F3QpTOUz4MDKhnWVPsBCv7
SLbLp23EndCtSsCUWHEf61kvUVF35c7U6bboQZzQJDX1hzoI+nhUdtzXucAhHHlat4UP4mTQSw3b
jbWf+njI12qPjHq7ojLYqFIHrmte07WFWk+sRc6juprLqCr6bd0luKr2vtU3fOEDF6mOvdrro3LV
TUj0sm3WC3om96mnlFY9KpmOi6HLozWoq0jAWdfdJotxBwQtWqDk3GdiX5bNerX6en5X+s1Th08f
gRJ297pkmpCFEcQ46BGO0CFqa7hDcxuUDhdv3s2V4E4MKFcvUu6pB6Xz0btpq+Zqm1gclCqEUQon
7vkeJgPTKhzXzL4b8tn8sY28g1NUtaRd/V7uA103bTSVM8vPGKoasQ2r7oCgNsJCKqzlXhoUlhKf
Vv7GdMYdDoTRvW5YMJCuKYS/XsS26TYaowNTONFdpDnv5H49DEupCdGI5mLaaC4OTEu/yod1aekO
5vaOm15f+mzb/DHca3TfEv3Ahy1TXdMda6ekbLwz2hSvNpmKOxkYwOBR3pOG7jCzNUqorrQ+yafa
vt1G34Foo1FXVrble9qiGQ5dUkNPu6UWT00gH8D4QNB2JwQLT2kqppTta+2Z4yEdx/rCcD/L4rTu
eHqS1euUnw9r+gOb67+OtD30UAe+fMFpM5ZdBXu/eWrmCFVFhXWsFKCu2ufprKqwa2u44CJsSAex
fS6XvuEnbaVZXu9hY12qOqxWNS4nebp46TUhk9JJ4y+8VSEpl3WaQkhydHemGBL6fDTphNjJ7FHe
qbBfq8wrQp/IgmRhP3ANiVDLQHVhILs2u9Z9XlsUUsWL+oSsCg6I7RbY0PNst3Tj1EdqIeX8BoZO
p7EIAwWXgsDBwKWYTRMiaT1GQ7nAYVJ1jLRicFi2hprlUIdt0VcWGDS8bd5qXMNuoOSl+FzrGn7d
246OO7g4Fw49WJCQisZxwkWyLnaGe1qUT0xz3ULRlttw7pGPpjAQLMs/NAVV8qbOLFwNEnbL2vZ1
CPOB5fLH0uXiWK/1MocNjJmZaJoKg9SOT+2axiu0bHDs4XQ2USrA0mQ0smkJ6h0e18B/gcTI5L4I
7Fonbd61yzGcK24izvTIzkvfFmLnF2QiUc5ZB1mYqMVO1HBkJpy7jHVNZKayzbPdIGHTzCOokMxZ
C5x1Tc9DuJuPn8DoVJGklEPaCL6E1fYUtNXmRdgLyOxCibyq3tm6wX92Q81207LO/MYW60L2um8D
dbH2WLB3eYc5vyBDSsjZmubCZrtqtTDovZeTRa1JVsZtdV7CEXzQly4KDcxl/iozu/fhHBRkY7Xf
rup4YWSePnaiLtosakcoBp/wvhTyCs18NktUNRTuHsqEdxgcr2zVTB7cMrNWXQYzN9yONl5Al217
ggMopOETphqRh4opuWcqb6KWzVPdQ0li8cx4yCxH88K3RsVTDz7qgrWZLa/mGWeNAHNosd2XJDBz
1GY5xXCuJF+qHexrcvFBDKRpX8h5hSJQHvh27sNJD1DMD+FCSo4hgxoGQkgk4XusyldIiZ7tYSRD
zS8aPCGoavsDTGOu0GYexgyFub8YNoR1zmAs06/sR1x5Ytn3I6f6DQ9qJHZ5aoLyI+x9RAWgqWk7
7kwZtOZCWT9jVwru2qn35cILvJOt3wana+BhdYbySa2fiqZqLd3R3mvpRQegzeNG5ws+0TUqu/e5
Vwsfg3tTGQtCXlOpL/xhUOgjLdNULGGayTpLpmkcg1O/L2j7RzmxJYjglKyv/TCb4BsK4DBYwKqb
dJgylYWqU+JjQFin3w89XfMIuksQu5hC7XI+Qf1dwOLWozdt2Y/rSY31slyp1Uco0jkg6aakYObH
mcLrxSD9bO/jTpQvRW85i31R6Px1p/J5vZy4HLEHneiqCMTucHaJnZhpaJrPCjo3+YuSdWRJ2ras
0qTDEvUvbAdfzxOVh29U+iAYfKHVJzSp9AK1o3cKbaT1RlaoDsspyHYZjBR5u7lYxXQKp87H9RjG
jcgflSyo3OkKvjTuFV/yqrlAWVqgk6kt7BJ7XV7Ox3LpfZZwNiv/vc9Slb7OO5npSC+DB1PUpS+N
CmXN4OqvcTVBf278dfBPiGa6egtH/dP2pYUv5cj3fq5avhvmcgTfOQWiz/fe0qD+vJMju6lmA4ad
Qt1tepnPfg+uJG/nKWZBO/TZzodu1fhClXAkap9mVpfh7PExu8qFkfSk1lqzcEi9nn3Mc1nqKGuM
GspQNCj14bYSSuYTU9Vm2A0T9r3dYBqMwqZaJ/2BDBI42AV+hmAAegYuCi8zfVjOnmni5jDEE8II
7KouumnOaRzofvoT+8vE4EKmDC6Xi+DwODuHdCm7TQHCPCqrHNcRq6egfb90cKMbjETVNQxJhkSt
a3EyDayfrha40apPw7wb+Az+ftVT24blAGF6CqHiPZqbyY4keAeH9nsICGpqpHxdAZWDIvVg+xiu
fYNOZ9xMuA5CPeomSCqJpIrHMSPVEmZoEOuLaTYZVC1muItGHvvpAjmi38o8PzFwL5MXrn1ReG9Y
oHq8yymz3s74I5I7vqxr+a73V1Iej8M6ycTWrZfuugmnyxmB634ufWTK4g1UkfGiwqKqBrmHc6bZ
cCoV7GAuFqgriT1VBcS7IU2DLvJqms9ndeaXKmrXHg0R1T33BjjjbdJiCn2wIPR68FVNQ9vQYbgs
Zp/j4xZaxuVFC7OxRReOC4UrN+AkYthNvUQniEgzvAxM5zXXuJhFdcYqYsDGmryu8k+kEitYQg1D
niZuM1GMe3izuYyDWlHzlqkxT09NVpTkBM7AsOocDiDBLT0xuKOK7eByFZLernC4Ck5BmrwMjk1b
ZFkywq1BBdiIgMmr07wcFn2sy5rgLMRoGv3YaLgnLRyHpcFv4Jni3YjyYf6zgmOmqoskzlsadTCw
nUUe+Kc0mlM9vykxG8ixkHoVYdA0UhzXYy+8aNF2gEuo+naao//l7MuWJMW1bH/lWD03fUEDoLY+
5wHcnfCYp4wcXrAcopgECAQS4uvv8upzu0/SNVzDqszKsiIDxwXa2nvttdZWnomCFA2FuHzE7XL+
sFhXVFdeRxg6R1XeePNr2659d10sfrkiK+rW5TtODd01UFVgNsvTpVND/ZSWQ7Terb5grUYkXl1+
jms8ekhTQlgU3VoE5OEBenk9nv2pFNPVMoWCX07updRlUmAZtU4mgV3ug+FarHORDpV17omKRYoE
1kdxeIpYi/iWNNTW44M/BfHwdR21YnUiJ7Pws2PUX+4Z3v7yU60XmFbgS9I+f2gAh9nnuMEiXq+k
HpdDR2c+XeH891SBxSWtOdo1imyB5GnqVzzMsTAnYxuv/RAFbmofDdbMXA/1OgcPtanKKmV12etP
i4oI/9ySyMVtAk6h3ymsFJXFjw4qC/8ROlcmvvYsFM2XQQ4NQX0FCjVN25rU0VUbTdohfyv9OOyT
wZsdjkK54PhAtgeRSehxEx10TJHtJHETed+gQ3Us9XGo1+d1HprXaMb7fWx8K8O0Wlb0X9qoYx85
AS8ipS7O6xS1KIvgodZHc0ZkxEOT0MVvh3tVDiURSQDC/0mJWvZ3tFXWk0moo+Vr3Q/TcuJBxcxD
0PkjFDvos4pXFne2PBkJb43HgZT0U6zhC3HQLAcUEFfeFN67TuXRyR9rSx7Qf6Lds2wivd4EdTf0
CJgMe6NIWhDV4qyB7GK8y1sp1JLGjBWPDswXL13CqjXPerWDGRJJA2JTEJ/zJsU0zEo9NBoYU1K2
hRyO1Gkk0ad2sMExzmnXHUY/J3gSVSmDOzari/djqC/JT0x0VxapiA0nh3Ye/GBOmnVxH+tYNj1P
1pbV4lVxT9O3Qof97djNyLjSsqi9NKjBI3UportJIhvS6SOZG7dcFaFVOO+jxUeaTqVq1ZQ4yrzp
XOEW/Ke576YoJTwcDo0r5y5rFmz1z9wfrTmRqJEBvAxGkCQDVtH4QGXJu0TTYD0JHEZ2Skae1/p+
BnVKdGkbtpG8bXTuHmJ3sUxcx5Xe6Dhu/GMMz4sFxyhSjsO4MoR9K41XnJuw49PrLPPAPHfjHKRo
NAzki5O5NWluS3aFdA0+e00Zpz26bsm41OVVOako7Zh0KQ5bmq7rJFTSwz4lPEyjT64K5AMfbRvR
myKWaIaEoh50WgYkLKDyUCTpe1aH17Et3A9WiLm+I9g6bbbWehV3g0fGR99CFIISiE63BUyaV+RO
ARsfjadktk5LlIaiaO7QFPHmFHaHFPrFkJd3bozJh956xbEhddgkbbtMN6aR4qGw0NweGrzGKV9m
m5Iyr64YTLlv57Bw10WwyC+uMPWLoHJMKz98knxsP/BadCIpfKVBO5ll0wzJ4lfC6qRAtutODn5T
7io0pHgLg0VdT7WLxQGvc5i267wup26s+bUDfZF9sF4cvRTSUgg5ydRF3lXeRsbKJMebG+cJc6X/
o5pyN33gGJbkElO1SwwqZ2CsO1S+t7izdMvqN0k8Bk7Bi3MYNEEdU9G+PhShCbxrE7CyT6sRVmfX
Yxnk4l57i55Ohhvnv62hJGEqHDPTzcwUL74gc20HiJKJR65UpSp2Wy9Gwh6y6IxMbKDG+I3OUvkP
A52pOk6jcl0mQx2W594zQn72SriP1il3Fa8Ovq7LKZl5hVRUTHNUpaNEjmKTnHqUysRxN1ffl5jT
4dYsvVm/wcbGIh0qp5jj7ZbYW1wl9Trx+gh9Q06yMZZV/bQEqP2Pfcdoe5qgofQPqGiK6Dxc6HfH
IWoJfZhLUvMb8GdpcAjEwsU5qKHm+rXK+7x9mPUUKz91ojDltR409cOkgg0QeoxrTaR7QmkcEVTB
oGyuN1pLjbhQdpEN7lSLLfnSoFi1nxveiDPDCGIUyK2NPgeaNt6XFl1KlMlLz2GbBhC6TPF2IFlK
8tkguutxXg6mLcb4Y2gRAN5ii9j+SetBkPrAo8HDeZV33DMvoV3rpUg8QiKaTFM+tqnIqST3eo0X
9yvLayF/jFVbdse4hvfYs5PlIo61z/vxEa6wvFmgAoceJBOVR/rHELsMEdGn4xAjPJVLBLCw7Iau
uqqpX9or2pSN3x7YOiIFSCTMtgsIR3vUH8j46iF1Rl1yERg/TPapnsaxsJloimZ8k9rrzamvvUmc
tRYzxxNbhR0PA5GL+dIIvnjfwrIR+stkm8GcVOG3XiqaObiphiIP0wHd5OnW1TUr8EiiSqSFBsqe
jsoMSEqHEDLQt3mFriaDUV9+2xdkyGy+xM8DJW5CdsDXVT04KWUywuAvMT4rZgpHorjuT87G3KUF
PBHn80o1CrRSzFGiJ9t7KpnmyeqnKLBR+auBGUJ8XBvfLw/wFsW5mhQaqvSrHGn2bSXnGm8dDVp6
ndcwWbxRhes/ihiLcKDTxAKZ+BV4A29arrWHLNX5XraseK8z5AFBdD3hCKi/WkurDCVAID73EEVG
ZcpF4VfPsK8pS4jIgjas5gQvGadpjKjqUM15XCRrVAbVfVxbf01HbPgPTcDbo8yrsMNWy+fr3geC
cQe8gvLHuFvC5tqaUXwDEvMJqcdEQpgwhKCA93CVIM8dKfIvLSF1dShaBMWqHpu7afKRma3Oi+xZ
RnGZqtXBosBjhX9VRSOVd8NEtbwb81nfzEr19VdYyk7v3tBofVhmD4+RLdFbM7NLc6eJcbYvzL6F
yCWmQ7EOyNXBa5qWRNqoPc2QL4RJrWyB3ACtSgN7rHgBXotIqIHvTPW9VStS9y6+ID3RIse3BslY
QjgY6GdA6ULf0iEevEcagcQHUlDUFeZswqKYJB7K7HydRH1eV8fFp3EdHes4rJ6KAW7Sx6D18+HX
xZDGpF4J5OpLjs63fxx5rNmxK4kjeDUr8jJWqEcy19U6ITUCqErMPML3qiBz+T3mrSZv1M6lSV2r
A1Q7EZNmSWoTS+9zVQX5t/iSmlzFy0zUBxeq96mRE0O6K4YAyWzLmvlKwEUgTkU4tu89x5ZNYoj8
UxgJ+OwoBYt/A/8aumIRXHysJcsZShnYMJ8WEtnokyo8UWD5RA5k0BNt3SdalWtxQFLS2mse9v13
KRcaIM6xsu7eNCYX1SkZS0uv6om5Hyidi/VmlCR/b0u5Cg7HYGfIbVtaNnzwckyKfQ8gsuc/UFqW
QEbqgt+KfmwQO/zSpaQIBvs4ijxSh65Cb4kVYeE/Vh6mihxCpB7+DbcQZp2EGUNyWKbVp0cTGm0S
2c7LC1RUAfuoRmGePI/pj3EeBR9AoJjWrM+b0F15PQrjRbaLOYYshgRorY36iDVvbrqgAa0trGHZ
m9Q56899KcSQctW1NlFe3nxaWxhlDrxF20gxG96Mi/Ieo9Aud6FYy/jU5z2QVcndkg0QomeBkv6Z
wVgVMa+j+q0UBXcPquiVPBnjzW3ChzmfXuzcc/tFC4niTDvLyk+AhmmUhMZhHYita4QFQQPaI+OI
4GAd+9OHcgmRJFJACUWBLKPmXgYK+eodRtDg+ZHHBXATC0NmOBtE41plRPnqDYLNunkmcd9O6QLN
9nOFG0loZQI1pwjbbrLJCGyMPqimjFhKFW7nQ9/ntj/VQ16XKWGRst8uXNdz38m2vVmiaJX4jMbT
z03ArHygRWSRsLmKnuJYef0VKJSRfQIU3R0RJrruNHJe6wMpjQxAl4OV5LG3PoLIFPXXF8fp/mOu
eK9QbluQlo1z07P2ytqkHZ8Dee15pl2zGFX4D4/DaCWRMJO7KdZ+wfbJYyxHY/1jI9icDsNkr2kf
IOEsq+7GqZI/g708QCGQIyjQhnopZVH+yVtBJz/FUMi4D8CZFoODSPvBjykeCxLBNaNZAQ9oOavu
3KFDUX0p10G3KZ6U5TdxUyIzR8SUpk3LIVdQPA7VIu5848dRKmyo5vPSswH+2TDyhZlibsK4Sjxe
gZ9tBb1sQq82RQE/tgEVE4JPc6hXLex5gihDJKRfJoltjH7X+4yzMz+rcfKLg4EGzwcTsyUseOsZ
MrSDsWIs04iZEFqfKXTNWxUS2h98KFSrTxKABkvabi7LD/6yInoUnhcG12EUtDxtBZHk0AMNM2nf
GUBbCURQS3Gog2j0H5gaxvgJFgKVSRx0Y+o4u5z3iSMrQwYjVDB990bosBMOqYd4gvuFibLSKRt9
D/Gl7EeNBDW85TqQUcpk1JBHWVjfJlKhKCgr3bbPzuO8OZFa+61LeNkpAwCz7NYChfoEyAEv9YKk
EEbL+QB3XKHzu7L3q/UcMH/p7oQCTpuEilooLFU5vmO0R1XekzXvQO7J/aa7gtTVI491HEch9tRI
V4v+T+fUCY5vdjyBLqbaFF0VPn/rbKs9WKqtU3z2JOCUT75sL08oROFzCEahapWUKMDa+xn4YZNC
XzHpOWGxCsiNHxKO4pJPXndVgWdhvlnihD7kYZhPmUW8toeRK9UcJaXxcCDwsJhgrD62rjyhGpTi
Jmc870G+lBdDIfgr9Ye6rMRynU9+FKfQiRSCH2hX+9hQVd6in41WaF9ch2ahK3KWSbErgAQ9uvUD
crsEOGzQJF4zrfVhwGsgT2yZg+E9qngjPdQOAZsoHDKjfoDPeyuh52rQIZtwmLbIE1nqyVFkIVHE
LecmiGn8No/wfri1KO0XhS9esZohB1lo/8CjSi4fPXwb4SVlMNF+PgEfxL5PTbwadj9fKuib3Oub
BckX+LJrUru8KB5cG2gUK+NMQ2xw1gCzilL0WjiqVV+3ovteOVTXIMi5qPXfx8l4A5KBiKNg6qcS
/ST4W/TjtRb9HD9wBI8CqWJcrz+aEt2IL3Vt++bECtZ5FquraAf31nCsnhjSfexlIjB45KSQGg3v
pWLcxskUCObubcTm+DUAPlfBMAL4//RNjGxu3pQ3995jX6Dh82QuhapOcc5KkkZm6LWEbE6N8ly2
6HvhJWGKnsYIhU94hPPaPNxAAVhwm67oIfWodKsxqqKDz8MpvrEKnaRbZNdxeIu0iOmXTtbNeB0V
1PZnb4a78heM5Mr9NLzkbKe5b705kRGxMOb3+Zw/ebOeK8Q4CFdTgcy4O7q5jcf7Sk8QurTcj8zr
KsELTGNfo8lTUdnVx2osvOl7HGqVv1KrEfw7KKJrs157Kwx/kbLKvpRnqwrqkE/BFDcNomWar1zf
CXo1AmW3mWwwtOINqCLn11WDTmCq/BYEgKMagfnEB7ybK7CtC6LmnYaRkDmlYVt7CfbcXai0Y+g1
8jKfTn4AavVwqrwA/Z6wQ4vHJRKmTHHihkXxw1hGnF1NyyzWK8UWz+9S3xE7C2B6BdyV+lkE9S0P
Rq3fuOa2e48KNre3SGyr6CR5OYsXa9GaOcgirguoE0FIe6y6ToY3eSG75sXGWJgbR+JGX/szTDju
DO6VwAPZrfyxnqO2uF7qUTQfUOhVuUn9GdnycKj7uAVszQheMD+F47ZUXhr6NHTqgD5gFItTAzpg
4sYh+gxfZV8HqRCadu2xRStIz2ckYCMWdopqNT7inO4APIOMg1YacjfhXiiWHeIqwctm/YDuSb6c
DHbySaxrdIsiOvRuiJcLJHahPwMYubTxYpL5dRiqrKmjgd+usi+qJCCunz7bahYMWP6sDTlNhVpc
mQQ25BF6nASkK3/QsUlDABv6S2tYTB57vRBNTiDtkwCYxsJhBx2PqzB1Klprm4Nrx4sH1aTDez7m
rDszEa72aujUTA+Fcaq7Jdp1FBCpj35r78ZoPlUA8YPE00HgndCjnKqDjAuBslMNWiFDom1Fvy4R
fKdv8rWol+foAscDey/zcf1BO06Lb6rpfXn2KaSOZx+o73DXeAAbX2XeEuQ2HWfLbcA87X51A6/V
rXOFpwHwLSROV4F0JAG+PKO3UmkNst8wsbvZb7VNJwerwfOIW6gP80pIk4IbH6JnztiFo2rikwA9
+F4aeIl+8G1T6LtxWoPuOoJR1np52lEOrYOYHLykdcTqb4D5PHqoeewpnTQa9UyqO7zt7RGZdYMD
EoH0UubbUdkH4Y2Gps7zghGbJcZ8mFQpfllBoQBXIZMYuXjQkZFenaxVVP2YL+fjj2ieFFDwgRfn
oRcuSHzEO/lCx5FM2HsFb4cpUbFeuhQQE6xlotKv/AMl3AO9hhZDfk/KaLInhNFpORvZVeZ9qhe1
3PZr1PKP4zKHDMXLUM/XzkXr8jGOWmUeTNgU9Eq3c560U5APCbLR4gKWq8XgzEUD8zF2TkTXuoTS
4B6NknYAHMjtCmhraIBacVjdMT59hXB1iBMIi4g9LiGmkSDDHspn0CQCZEQGNq7PNZiNOBehyl/m
gzBxLt4i5QvQtTsf/SyTdfk49FMCL4acJX0MHgFN0fse53cASQXAWwA2Piacx+FaeUk4IX2tE44o
OwFDlD3UHgkxGnXnaYE8FHYi3cLC8jMU1m4ek9nC9mLIWjPxqk7t4INtfQ2gaOHBYaQlqByHf9Mw
S4IWFkMd0KmiU+qDEaQTL56GPLXFSj9Q/LZ3Y2xZqLMoL9hvgfJ7UZeYyfKHnujxCLRgncFU9nLv
/G/5vPiL00xeTXJclgMG7vRzsrqSP6Bh1c2HMIf4ex+DaWtXFTrWtRjOJI+++FSz19Cc9nGALvS9
fxEdcEkN2jW4Lq2eY4AWFd8podnaVPWLJCKvouiEY9IHiCSMf6cRrf/KTPsPrOPRMvj51gGFkQmM
NHQmPOy/oeyr6aa1Xl9d9XpUAJyIqVnSYVIReVw0oFsUWLXnp7234Dn9+fJdWEW/xzbaEMswHArO
7t4YnXr4H8oDTOqXO5AHhxT5GtqP6MXF5z//pD8iU214ZuOg8apRGp5gCDBEL5Pr8/mgCuS5B4uT
aU79ovQkstLFdVd//pF/QOHc+l7V4IfhNCH8FMYFQY886I4DsOa/+EJ/dPUN+0zBA0xHpeBgjrTf
mjF4s7HK/4Iu/kfX3tBDkaYPrSpyfnKiRMEwunM1S7rz4huG2RQEU9fPIT8Bgz6ikVoleQDkcd+a
b+ih+WKqiYsqPBW+p3GmmzwJSpz++66+2e2kURTsIKwLWdswiSYBX7q1f/nzi//BG+rTn/djOAat
VUuN16WMBPmhgSnZ1A8dgRMJRlSpRM1gY19BKcTVLkMvujXHwtgWG3l5z08wUOQf2TDq+zoAvPrn
X+i34Po7u9vf7O6odhSwUMFObSxKINCicxbNFfzz7oIpfGPIvPF/OhZ0YVap+rVeq9cAbxq/ynU1
l6hVivIIP7cfi6Ewe02mCCnZX9zd77/jABR/Xu5lnCCdJ96YuUCiou+j4dS19b6RMsgpf7468gAU
jph7BJzLXw/d2t9HVO9z8GDxZl1nRXRTBnbMeswNkgkyBO/GM757/vPn9kcrswmV1qNALdkMKxzj
foBA9LTo+NuuS28NHSY4dpUqBOmvCYvnBXRcv213aS9Brvp5xU0eNyFg4jFbzVAejUXI9WT3fd99
bwJitbIcgvBGZ4iHcIdw9238V359l8j0vzcJ2zo4WA9G2kZFY1a2hs/JGIX13RCqBUYXZHbpvvvf
hEXedEuHhv6YyYp+kSX76Kl9ei5MrPx53ReMipNhlI8ZQYZ5ZfQYJIFh+2YcsGizSwtSQshFCW6c
BR9b43UJ89TbvkXZ7NFyGRT8CkqdcVIxe1zp7JDvoHffHPZ9wGafsrIo4jmWeCUX76lqySswnV3G
Eyza7FHQGQc4jeLSuRNPk1895DTcJYAAGefnBypjh964cWNGUXNmXkymp6Cw1S6xEtsOuiOR8bmp
8Cbm/uouGEIGRHuf0QrbWji0C2ByEMrGrDMgnqKMOQ222HlgbC0cQFSF/k9gyREeb4wjN5Ivr7te
lO34KGEL9FqHAn3TvOiSaHU3YoQT1b6LbzaowFsCeKAZM3BYH9EPux39aed9b3bniH5AHlpvyJCn
f6yC8Uk2w6d9d73ZnPnC2qZQ9ZiFWJlEQOAP9nwb74uHW/OGidaDV/digOF9OaTwGXqaPbFLFsK2
M5x8HwSOjvtDVlQU7Tew+c1x9r1w38JsrRvqWmCcV+2wb4Rr03gOw2dZ+eu+J7o1bjA1D3MMKRuy
CzaWBprd4yTd5zrBttYNs9fFPV96vC69YODzoMvdgPIYC9PsMs3BaJSfYxfmGvqiWDqsfVFasLXg
OpzlOYMd0q63cmti4BoAuGObqyz2NCinxqr211mgDbNvr/LNXg1a4jMLnCUbS6cPbRHWQNZKftp3
95vtGkXLgj6kr7JZhgSlBQZyUtiG7rz3zY6dJEaXAQVWmWZRMYF7TZqv4AN2f+X8cVmD30mUtj4G
YOOgwwqSKuQuaPZXU/thkcG+M49vj1PSw+cwmrHuXayunPb1yaJdcLVr3bc2BoYa6pS0Kqtzvn70
+7y4Qv6qmn0Lv/UxoIiTIIvjsQqgePoUzTFlCfpw4bDzAzbZLxjcTY/GJlaeansex/hDOch9OAbb
WhlETUvQRBhVFrHppSr0k22ml33rvsl6i9xZKmUxZBF817reQkrDGN25KJutOsBrPAYtQmUUQOyX
CG7sV3Oz048Od/VzIJsutMeV8h6cQ3CSQ8wMSjywlPaFsa0Hw+g8KIslrg565JzwQF033V+Nf/ot
Bf2dfbr1YACTAHPJYtJnFwgd/M62qxFsompp0qIFf/WqVc6+zK2WZ6qpF2ZTWQ78FbPBo+ERxsl6
fBFRG141GOjQX9VNxwC1QHOe3xfLEKP7vrJ6GD/YgYAF67uha772ZekN6PAY6JsCvpQzHBogMTvI
APbCaWgJoH80kuI6I9FSsnPe19algQ8b1k8eRiK6U0BrHQGBX3BNK6tpPRWDKDU6T2SdT6CNLetB
m5Z2X5YIcPbjxEKv/qYDPgwZbAOEycYF3/egppWDlWh4DIMeAv+G0EXFfFXAAEnchnF3ARqHlbyQ
WEDJgBbbWVWga2cQj0DSZVtp2MGMrOBHYPAM3t+yNCwtwKLukc8K4dJ4rEC3aSFXDG5sB17kGXTw
iUFG1xQ25bQx53X12vuxAyvwwHxj0KXO4cz4IgOI7PZlIVsrjHZhc9jMtM/AP4YKu/USUlCxb2tt
vTAoyx0SSakyqA7fc9a85FG17763RhgGFvYA1nHfaDRnYDFd5zzYBciyrfkFNxjpEwBByogQSwJq
HRRcMtgHbLLteKzRLyjkcYHKClJDp9UMv8L/Yl/S95s57780MWoDlVwX+X2GbpC6x2RrtADo1O47
/egmUJZh5c8dCXVWjA27haCgxsjUefq8K8ZvzS/GtjDGKNNnTVzMb2M8rMex7eJp56tIfo7DaJKA
5rWKPhN09hJO6ltwDPdNzQaV5eeL+9jCHNSbHixflbeH3rd1tgw+eJH71maT1QRdFawexRsZFi1f
jhB7zGsSebzZ5zrAthYYEzQmuVdOfQZd9K9WsWsoRfaNwmVbAww129EM0IxnpS8wgGuCCEemVNTk
112LQzZJjeHDSg0IqpkcBHhaYBCBXQe0g+yzawNd4uena1UnA7D3kCD4AQgQkQVHpar2GdYysslt
VGTzei1whMPcHj44YBZD4GX9bN/ibPas9R24hVXXZ7CwktchNRxywmEM9zkpMbJJb3TdFZgA1SMM
w1X7uuyo/wU1rdsHBZPNpoWV77C2GvkqoKzlnLN8zmBNHR32rc1m1xIqZ1FdTqe6agtQTAbQkKd2
n4EqI9s9OwbLvKBOziDjpe+QhK3vazuDAbvr5v+XJwYB+a6s4cfAw8h450Z0QernFqzQP7/+H3SV
2XZilvNJnocy7rJVgtv7qprK9ClY6kQdrO6910K3954nZH1AFtdA+SBQjJ5KsCj7fU9/a5sBOQBY
QzXyT7BnIODy2roADRnMzH2OpWw7WQtUKJCrh0tkysEMuWmrAgO73eAmf+dD2uzt1Z9HBi5Tl1Ea
VE2yWOh5krqByfm+U+03b81/OfBDvbZjR/ABbiYQIa3zR4w9/f7nb8AlRPxO+r/lLcipdZOY1y4D
ZQ6kwoL+ClXT3hvf7OxiWAOtm6iFVJidJGmuCdH7IIBgs61bz/MLG0+YEcyMThsPjDJM4H3etyib
XT2VciwgYe4yOEaBl1RC0tzyaudRuSUawDCh7zo80awaIT1qa0u/jx6Om133vp2wpWvW9awL2gy5
1n1k1hvI8fd1MfzNGQwt9cAwkqHLwMcrrwM5xklRwQdo341vD+AmrGLT0DajTQyLHDCoh+sSnLt9
zuJsO2mLiaWnYee3WcS7Oh2gLIfPhtu3RbeztkbVFUUuqi4TrLS3Gp4eaTTV5unPl+YSSX5nk265
BsI2zoCPAnhhZQNSfl8X4ij9oO+P0BH23a4ci26HHpGlyHM1jRCvjtE3FOp3bVR+/PNv8PthhopN
hsKMj9Yg5lhjtDrkTsmgZ/MOnuC+ThIVmwSlQq7cgZctM6HiHOiOjs9tyOddW4qKTRjrST0v64ib
z0E6OvKAKOjZl33hgG4HH4GpGjmuAXYEdgoctElo/qZ119VmX6W7pY3ELszjkBZ95s8U9Ew8h/oS
MX3R70uxtsSR1qv0YAS00Rge/jJP/nMR5LuWnvmbSNxDjBf7I+4doCk/VCM6NLAx+CvKyx+9lZve
aYcYA7HCUh4hQMmfjfPUSwf5+mnfOx//XFHIqgtmn2h5OVrjJ9VSnk0XX5t9V98EY+gOoQ9sL688
rEiTfoifIIOsdoUzKjaxeHZT52ZXSRA/3KDSqVHD51WK3vzX9f/P9+U/ivf+8b9il/7Hf+LP33sF
6U5RTps//uO1b/Hvf15+57//zs+/8Y/svb//2r7r7V/66Xdw3X9+7uHr9PWnPxzBsp/c0/w+uud3
Pcvpt+vjDi9/8//3h397/+0qr069//2Xrz/aqjtAwjBW36df/vmj84+//wKvMIieLwDbf0+VvXzI
P//G5Vv8/ZfDuyyr3/+l9696+vsvUfTvsJTlAQ9jpKeX//7yN/v+20/Cf4edCsVwv0AQTKK5kIk6
TD4t//4Lif8doiIKw5tAQI0E9c8vf9P9/M8fMZ/gt/yQBgGuSH75fyvw0zP6n2f2t25uH/uqm/Tf
f/ntHPifYwhfLiYREQypNDzTIWvebMqq47CaEhA5VyN0qbCgGabX2RT2U2km8wDbr9fZG73njk4g
uMO+Qt3Argb+JHCba0Awr+XnthnNV3Ckq3PeCAwElyGHQ4OYEwiEplMFvsTTEvrLMy5fgspt1WMB
yeY7FAXf7KzhXrYKDKGroWMLe9Y/KmHz14HA7QDKjv/L3pns2I1kW/ZX6gcYMBppbKYkb+utvJcm
hMslZ98Ze359rRuRhRepzPeEBGpSQA0iEAE11y8bs2Pn7L12/2o1dvXeePR3DSyiQR8Xxf3aqIei
Kacrzjk05CxnfrFyR+xEvsVBguU68sGnPDaN/4ZZzg7NGb5aXXTLzjGM+SBqqGCLlFnU9y0S7LV7
FJWVXrB7DQzUwX9oF6OIxnHoHu2KTnCfoKxPZiLIPT2oI0ya7oB7eX5FKgtAR8blJ17Y+nqykvS7
51QdZqN++D7WXv+Uj7Ji+BTDOrEdqPz2ZLlZlFeLYeI2j81vRY6hlYzzEbOE51/P5kJ/nM53g6a/
A7HDIDsj0MlXdhYAwhNfG9P1AxG3MzgoiPFNoCd1owbmx8HqFt6LZ5T9VdqZFaphb2snAhKa8R84
yv/bL/tN9gHyrfkcfn3b/2mB+H9oSbAc86Kx/O/Xg1de7f8V/KyT9/Lvq8I//txfS4Iv/hDYhoVN
IItJ9M2lFf7XkuCpPzzpWw56dRPMPyL7/1oS3D+IeXSFL1zlS9e9NHP/z5Jg/qFs1irPxcoHxo6h
0n+wJFz2g7+vCI7vURY5PiuLSWDMrzIh1zaSrvQcj0H4WOw7kfvBlDhZpLICb1u9/qaS+fNU+svn
Ab3FD+xyRXiMf1mBcrnEZOv57sEs+oQee5H/BAGHN86s291CsRxV8dZ3wcjvIpZ+nTw/yFM1vmw6
LsN5ktZzgQRx+s1e/Oep89efS3rC43QhpQ8c8J+3fL/vMSiie0GNX34ban4OE6AKEiF1lIN99v2t
OTSlpfcx3sUoJbZZj/9Z6pOLAoynw1RSCEkaA/GH//wzFBc3/5KP3qHNlu4Qw9o5e2bWPP3tCf3H
pvD3TeDf3HGbLq9ix/Fd/18qBGz+U55uuXewGnVUxfzq2W52nLOyZT/o599cWJ7TX58vRd/V4o4r
afMg/fN3utDIxJJ7PjNz19kv3lIGObra33wKL+Wvn+LzRuB0dQTP8K/NPBkXIAJU7B5Uin67Ky5i
53J8mKrsN82Wf3Px2KIdFl2+j+f8qjlSxsYVvTy+MSyyoDLyzznbcG5a9b2VF79Ri//bD3MsCgN2
awC9v7wroDubxkXkgRzAFmFJeRGkQCUigH1luOTOb+ZGf3b6f3kHfIk317JZEVinfrlXGU5Kzo+J
e4AXA4l1atig3Fg8lERenpoKuWYLeWifQiE8bg0EFFNU8Xd4dYQi1EuH08pDtFdXU0RYHQ49oahA
HcsrIwVH5X6QIKoiL6397jTmdRZaVcX8iETqdAqauZtDhrpmNKqc7RMP4hddVfo35/B/9577FFrS
R+Dj/evzOGPGmWEJuYcEDscJQIJ3WiclsOOqZzrB+zaP+1Otk08XIfzOloV8mhPb+82l/nfPK1Zh
qJami9H8VyWJzrFJqbj0D2U52ieYC7e1cLCPi9T5TWvzXz/JvySBWRLLteJa/3JP0zbtZz8HcOPG
5KksowdTtam+9elvg+GpIf/1gfWFJJpUkpljuX/9+t/anV1lWoYre/dgQwPdFZORHTUr/r3E4vbg
GDwIkoIzKZZql48YJSOOiB3YzLqdgwJe5tHvAXCtrks92Y/KeRyzSb2rqfOOswNcMgSEvD76/WBf
D8PUXBVplRG7nq5V0JpjvuxLD7pIh3E9FJU7noS/Qv6FC7n3db0ejK7vIq07ubMU7EV+oyjNQCWN
ig/zIDtkE2Z8M8JJvKuVCYC/T3tnl0yLjCbXQ/orqvx97fLqRId43okSS/HqKyPgsOueim5w3zJr
s+9myRffersPgZuU4JQ1NDL69Tdmvl6KVQu4TludLorrsK+YXDfL2D7ZUrdvcqzbd8Jl6c+lXS0h
RWL7Q1FDFEY9rfvar8tjJob80RBtd+eJyoMYBnsjKjSNDjrYVveGcTK+0ZhdYYuA+Jiqzvtw5ku5
Gwvra2HkrzWWN+CwRuNcQVy6s3xt3bpVGjESPQKQq471ZFotK0AiH0zTA/NrpY53JWyrv9vg1ATJ
0DmHvtMFqKahJR/Shy9VdtTYWzOW56mBfBmwSq3X/gidICA4pRqjUcajG+LSJJ2tm6eflExck9mq
r1OmBkTxjOZtB2uTS2bJER8qsBazr6cXhrfErVWq7R3SuYT/Qtm2DlAm/eHZKyv7NI5iwk/ZGaF2
lH3dTU61azoR90GWXNxa3cbWHxSJWcF8LcFrRcXkZUeZ+Hpfe9xv2U9cvsno1XvsFHOUcG9ZhCYz
28ExU18xxaxXuIXsr1aKbTPwRJHeTUkHOoHWJ5/jjQKYLovHwspJ4rgTFNXsv8y9GsoX0GQ17CiR
f+Al5ju4seKJxwXdPyK3LxAgpnO7SylxAJ3osDRt93PDPp8H8KVr+LGDFecHT7Y5EpNiXK9lUXXn
zRkI2s6AXfIKJSKAGe4c5EaBE7AeVN8dSzHIIDmNyHlbdyftV25gJTCBpliAp9kgAwF+SHy4vMam
Q8ClRDbWMSzjJTkqq5nSYKlNft501lYTpN7gZGElndQPDCPbriVUjHEyafb6Sl8lQ109WvU8hEW2
7kFUpk9S+Auz2HbY9/xsRzyPEDq6wT96SlTc36UCK7fwfFww5mBRyxHgZpOYL5PluVfW2v1sEP7s
spHEPZ123Tc/5gxNgWp1JwzOOkAbJMNCTrBDzU3NiOixGRL3x9UXXnHjjbAhU2zqp7Sm5Z3bKgGr
llXvNKby27w256Nn6fgH+CMVB/B55y9TLtqo5BajhbHEMc8IQZ3XKT1gxkTtl6f6Y1LV8EX6/Xr0
4QIcdD96O46w5h5okhFU0t8vEwUiFBX854B6dovLiUyPmDyn9kxgjnfVYy0eQPjNHBT6xAvjPH5O
1sm+6rSZ3BkFonetB/89o/33LDc17MoksVSgYz1Slev4KAGyHdNqgD+lMl4Fz0gAKYDbclqK40qq
9CpppzfP0/3Za0RBlNa6BvM4jkckSvXNUCoPtiGTl6gBnY6HWOclmoUyD+0xb6IFK1lgqe22ty4u
n9zdHhnF9TftVmTfl4wVVxgX4EJsZoeuK5Z7wvnmUw5OAGKUYFJbbP6z09nbDi6BEdU4vm8SP38b
AXMdmr5aQkSUfZg493FZPQhRlCeSeZzTPFpFEBfwBrdpOoBgNfY0/+ef9QxoLChgj2y8a4b5tvid
dWOX/Q3hA33ktXkSLozTQRGt5nU5WHYSOF5a7jU4mUiVzbxvAGoHvTlwoDCdFn6lnh7iHnrIXtsu
JPOBgD6CET4Xpw+q2VVPFEnbYezSLlANr7JjioNpOmo3zw18z3r40mb62srrNXBNow03VnBE0PU7
3X3w5nxzS0MWTmhHdDZkst7toxSHE3AG8JfWOFswmcf4oaYbuMOQsF7lnn0DUryOfM8gzs9ylv08
j9232Idf5K5mg8ptu3dURxbKXDtzAEndeauh7uHvTNa925EIAqwDDHZ4QZhQVsFEfaYuW77IOrOO
pWPFB53NZWiy2NxmFcgxszP8R0Tc6qv24bpFBTA0roZTOQvLeZcvgXkJX4jcronFDspPASar4Yrg
M9zc+1KRjMVutenXKdX9d0iPIEc619fjKcnXhSikmubE0G+fq8xq5k6AM2d3fK9AS5z467Zg8JZ+
n9ua3o3yu6hfywfW/ggsgYmbD4E/5M44pEtWfJXC6s4A5pLAHLcN0soM3LRM0n2WFSv4HTiXxayv
9BYvd25pv0wSSEHiG88WsuDQYpO/dwxYcf0WQ3HG3Fe7Ac4KntziAmNx7e5ROuIRMnp3bHBhBz40
sSPdsPx8sdAfq24cTyPIq0tSAfJ3R/FQTJ2Uh6QpHXI1TGMX6x6gcCvLaxi+8n5syyyqRVp/bTzi
SDpb7WJjza9qzWqxQKL5ZEPKdnk9l8cNrM0zBF8TjPei5p+63BQcAlFXUa77LaDTJqgZ1bo3DK85
emVTnSBQfDZSNudljs1HEPDdHljXfaYR+wMgUWHjWwv9OdOYXiDnJZ9qK/QOsux613mrOAHHifdG
7euHTZXJnjCmH9rvxluzNpJ9mfn1GeEm0/EiH4vjMonlAIxmDce4y3dDJb508GPC3krBfHjTst/i
S+8qsZP6nCueBG+RAtUnqIxF5tu+WbLiyl4zvwwI4svmcCmGOQQz2HzIRZZXcS2LYV8PXBEfm+Eh
roFkwxz1gjZ1rgp7fFv10twszXK7lE3/Q1XteA2opyVPsVxCzoa3zNX6nR/3/bvVO+pQiW46VWo9
FI3xUscrRJVxa5NdR3TmGXJnvktbUFbJ6CB075fhFpsBExc2wePSJucaRMmzDYIYIrcnI2Dr+kdX
z6g87YtTVmYN4MMxIQNRsjYXjcPslpnilwvSLITL7wReJQ3yLkTZRDQypvsl1a9QToegMcbrVE5l
WK3zrsE9HZFH2u5KYJ66WQCBTc12mPxhCktJM3Rr3Ru5AcWXyJu+UNgrHSR5HBGPBFC6puccVAv8
vdzI9q1bg0kUH7WTHcfZHE7luGrwnL08Wo1LUIM5sQtbC2ScTG2HEr8f9op93yiXuLJ1JSCiNbyz
3yx5JMntPFrlE+DqKurGwow4QkV1h+KKUr7YwV5Jdk6ax4eUWdLB4vMBcquPgXS7NwTGcEMQyIp5
dXZbvh2HtnuGrekF/bSeB2N88XJJUtq0AeTQX/3BYI9OjQ8va16kVdzUmfOYTOxQWWXelYv7Myl+
6tmbDmRZj3AxE4CoI1jVrj23yr3OlHlj0FANSaLor0ttgFL2zWub1OFDPFveRwMYZp9AuGeXCjEh
TAfiEarXzfpBK67ce7IDUD7nVVh2bRmM2NC5gX32NBLlzCpWP+vNe3G6nH+696KNvwFlvU7N8ivS
seGqr2wdjqXO8Tinz2Cuj6qqnmYv/1rL7tQOdhmqvr5FYsrPLsmzddpp3o2Yt4MhB52P1BrBjqJ/
QZzHqa7nbj875QOtbnUq8/Q7bYeTAwHL8DoFxNUMhm6aoi5P46NjSsJXoQnera3b/xzK0qdppk5F
bFRnP1NEX8Tzdqjm+HthuRzMOe4/DZ2dshrHwOKAEzof6Wa2+6pHCR1Xaq99UZ7XohShhNZ8KaWc
bmdbqxumpTdGwGDyyDN9Hfh1fSNtvQCmWahV2tjncD/bBwMp6qGfM/rryqCG4QtDIEdpI8G9eLZd
R1vD/ebc2gSz4T6S5HJnW3MWOlJ/A+e37wfq/Nqh+qwKiYI+Zs0HmBB2ls+IwbqBRPMKYf22cuC1
1Av3PTFwJOZuqU9purVs+vWzIOUjBIsTyCVv33JzaiITZFKQNd9dw351SjGEm2bPXtuem6ahdklr
vF/B9r0sNEPBCqvyqOfEPNqbbHZtnK4BrKH8PZvG4ZDaQKhHGiJnF3YVbfnOgKE2U9u6+huTxOlg
Ow7fVORzUOXTnTI7ULGV1eCELcdPoiusu6xZqO4cq9yTcNDsDX8ZIvDTNzVnln3O+eeMBJ3i6EKm
g1+tBw4YiP+7txRUzIEJ+nigxfLYjUmzj1sAlVNy61Ee3sHLGXcLa8fO9mMASr6Eb5kvnJuxEXa3
mxR1oLEM7HEpdVT/+tUiom+HtUXsZabFLokHPwQ7vjxJo+boUrfUknoW+6Rxm4+FL3V2tVtGzsIt
lebYHmVqjAf2W3Hbdqk4JU1Rn6vuWK9bvnPqRt7gJSh3ST/mIEg8+wW0qfPiLepnvJgyQi01HdLS
Eq8lIvJjbebGY9tO+jtG/+R+gLxzA0OyDXPLMg7tkE6HpVpSvAR+f6tgc+1s2jiRm8JBEB2ssmCm
modrbvbus2iK0BiTwYIalvEY9vT4QuIWKhGMKSzGHgQZAO7y69pRKiZ0vD4QDtS7rDPXMNWUQgNH
5IOfK4tedU6tlIvxSMiPgsntOOdWw1cftzXiwOTsSl7fPdCuEWVkbu3mXIH1q5LlPhMqp1os2rNL
0HpU986XlEYUKD3u+EZa3FFOygT96MqCBJTxANMnu7EXrU8khO1qf172Pi86Z6lKXzV5Nu3yTFNX
Kqu6IeyHArcuof8W5hxNRAGd2m3Sh3GRzqEqB3XF56y7MSvSw0Yw8zEuZu8ce35Mz6XpIiujmucA
9sgIzPpW1LkZOsvwY/Gt+c0skm81ZM+bbknj1zLbfnAc1w/+3IG6TzSejgyo3N5kSHhliP5ZSvXK
x/bnWvsnYnXsXZ9SDvf2uoY6puUml55gEdFpUIzCoDdU697aVdAwj35lmHQdMwdqfM3jQ2rnHg9E
nOw59NmvY6LNiEewfZ1ytum4ANvk1SPZTykJAuGaO/UXehVETBmzH2p4Au95kVqwTTNxL7vO2qXk
lq8BICd9X0j/e1dWl4SS8aLvtUgBsolymOONIAPftWgwjS70+1pf101X7Bx/KU4TXv+o7WJn1xlN
dTAM0leItQPd7ZrZeU3XjYOZboh5MpsZYcj2be5tcUy2ZH1LGw2rOM81HQ7nu7tAWE8VrhMGBMkO
wlx7V1pxE4KEyq6hKueh51v5icfvi287rQk7NumOiP7S62QCyrc1TXYlpykrgTjSUb0ql7F0A3u0
pi9rLuwfU46PB0JfsR6m2SVpykK98maCPCp29uwuaqfHNPtseMhc+EMryLM0GdanrfJdNyyFoeOd
ZywDTpdCl29Q38adsc6c9LZhexIysQ8t0K9nvRZ2xNTkMXdG1kxfFx9V3KV7skaWyCMnfidqBxFL
36rnuKivimG69SpTn0vIiiQPs3fwrpYbuOkK7Ljr4cGx3a0fYaV3KWCSsnnhg/RzVdbNW3FZO82m
uiXqoNjndQvWLvXNfWnO5GflqAy/tk1rnQdVyR0w0maNgAXGR1PFE8amdXss4ql7ygrLvhFw5nez
YeNnJ+0iWI2cLntftiX5ZT4z5MHNxqjb4o2sntVkTawE+69BfEjF0LWaQgC3BoHkTWcHdmpcwqfG
eN9BEwTq1hUw3Qo2g8AFUwZvr+vLvRHP7TuxWFJd7gmhGqw/txAYUUPAaq+CmMPkYeRSe9fs32mx
z6R+iFXP6lU8QFmuDv6ULqGifxm0pDPdzGq8txNTRXRyphDYnBNsk3FLw90lW2UO+ylm4WWOsDfU
DB0NcciBHKKozQgdAs8W+gaQO2MpFCRqvytuVIInvOj6F7fL8jRKAeNyQGidd1Io5BGAmgyBzg67
2UeeBDNmfOBIGfP+V/mhSg1nB/qBn2pI3+aV3U8qgmgMsxAHWh8/tl7ap3rBNtVs88u4psduHmac
odDnfC8W972EzWqhYgjq0SiIQ3XtYz3UZbimRXe2vOzBGYjbbqbpHNtiMYjIAM1Pxli1o6sz3rh9
Lr8vUHnjqMqripAMsvEOZEhMilZoO1zZrkax7ioDHrsW3g8nnwgKWmX7Svuj/cJEf3i4aFXfPJ/U
K64852Jad3tz0u4dtdwcOh25pOTV/MnR/TmkiT76m7ncqS1BnSD8Mv5OD5YKn355e3WxSWPUY80T
wdS7MMfGojYIPku6Ngca7A/DZ2ELc9kJM94ErPiFsWOl6pQ102r9Z/bSUQUpGRJk7Kwjx+CigWl4
Gvy1RRpQCUaqHvFnW+NWN4Mq8ufCmeIdZKbuuicvJIrFZeISZ8a3tW3DpczSXZmS3NSPc/+gcJYc
qtYUd7RFXP7qHs5a0tPRU6670ESnlvXDboG/DwmaZfqSysykZwlrXUeqJbElLkviqeCZwwjccQKK
w1a3n+Omn+th8Z9rog7ZdpM1dwNCriCvm9tbVS+vWw+GwR4KuU+nLMLzjVu9HYifW7PsnDT0hBjo
nJIyM14gkWaRn9G7pO1ehFm6Zec2XqKqSu39gEA37BKVHz0M6vseNBCNF9IpT1SwU00iQ+Vse0GW
Yxo0oBR7Wjsz6SbaI2XJ7ucxCTwjxb3DVMW4bXprbcC2VfRx6GikjxYqniuKPrLtcqfZDVnaPkJe
QsblDg6Ey7bqmVLT8HBi1G5yuMenbZOqg1T+SSRtd9RFwiFSc1ppIhCD+myQ1Elsi1iXfeH1OgBO
oQMxu84b32vbDxfyO4MK1bxY2zRYlxNLeR+LBA62uXXWj1VC+gsBBpKEhsdAhnQW22dvvSyWBXZo
fO1WbH3aToEUekY1d8iZIbC90S95VUvhvg1r6l4zkWpuSiQCDww+3ZMjLetZqCRpI0fB2Kaqtmfi
EMre/zqtXkMhY1T1SbDDCZ5tgWYFWyTASwVbB0B9Q96qYdrmT5tEjeeRV/glFnn7Wbj1xsHf76u7
uhOoMTX04S3ofLv40RlKnOKFYBvBZOQxq8hGj4rU6Nl3Gufb6trunWrz8nvpbjEdU3DAI/DsNzKu
Jk7HY1K958rfzm1l8//17NOGKA0OTOFSaXIG20Y9+g18/7CpbPO9bxN5nCEEVwFJHM59IcjwCr2u
T+4h4tLbTY39JcXlRfT+8NnUsnlhiBS/VknVfDV493dGz5UHE1EXJ4dK8rjW2fYarwRB1Ynk1Vyz
ePgqteG80wW2v5WA8cKp3ZAQWBnU6p4SHmeUS7S8bZ5bw0Z4XDX5rnLX5VNCaw0N+jaAKW076HvP
hj3d1daLoar0ZC1ivdHz7H/NTQijwu1xra5ednZoMzvMMYZ23zY6ft9osvACNGX31auH+LxRa1NU
b9BVCgpA3F5Vn+6TST2xedU/JyDm906txYFhgwF1VelkR5mXE4xsfAMFIBpYsCzI/FccTWZSHqak
yG/RcQykwDGV2FlNS3CV6wGsXhL6XQpNWEnwZtU+rj2RZ0GxQmvlSEUT0pZ9fiOHuTzZ8+qdljgd
zpndtD9yirQubEBDdzCj3XILYGCXT4DPhYiGompuWDA8MLmADO8JLdSYUJxykeEkO07RTaXQcNVZ
WVBnO678MHM9f6FhPd+D6uweibdqfqpuLG9qURfnbYydT99W3k08tO11YruGEUpzsj7VODQ/C1lg
CzGmZvxaIz15y7XuXbKhXO1EXtaNdQie344DfEQOWQKOH6UMSJ961ZElDYhjywKoVuIBL7j9krhV
9aNO9Ivp0xWteyoSKLdbjvM6MRc67l1xv8EJfa96UG6hpnc6Uk+R0+XSet+O/UBbT/lTXxHruXCR
x3aiwDCcdhPnPO3sKkoHE/O2XuLsFrijaiLF1JU1gjzNPZq14QrstXajgn7FfgZXz9m6nohVkB6b
DcQzBtGtZ4ibqbOJ9uORkLdidGnYucOwhviZkvdRt3ERJbp/Q4jf5lHldulpqnTzkHKjiM0j6OKZ
+Bm97kj8cn9QGtlTgNB4/cgT4OlhWbZufrxEK1FIQfglZXOe8/4Qm+yZwUAqlRO6fu18GxvfSYOW
kv8qia35GeQqO5vvzIdkM+jaG7XpnxN3/a41lHAmx/MScLTmPaFG4hswTDDJJGo6tlz62AtzHPdr
QlrpD4JmYlqWgwph2SMVMc1rIiFAGGrP1g60JMdOI5cOtgQ2qhl4WPzCkzlM0xi0Kyi9HYTrikmH
6TbDzk4zWme9mX/EkFZPrp0pGZbJIMzIFSLbVWXcfejVXdl1bZPtn9HNekXiWBkKYi/eto6pA0MM
Dm+VjqviqMvC+pGXg7hatY2VYt5W87BOFWalYnJCCOzr3gEtwDDPq09zMjIocxmm3TskmpFNCldO
I6DsPzb4mJR4EPheczetohl+f9Ck7ac1mf6VMmz/nKO2up83iww2vnZ/XnWvb9aVNEVmtZzxV5jo
jjACg2nfgbNNk0acmttPIn+sFPN1nt2nnrormfseZNIRbFlVVhZKsqGOeWWm0565fbqve/tdNeDz
DCe3PwyH1g5JS9erNJsfo7LyZ8tNS3Hc5san+Wt3bz67+bWRNOZt2TbGQ2LI3wkxLvKHf5a8+MJG
BcXGLVHE2hf5xN8UC0QTuS15dN7lTM/wlBMz2R1NelcObca+Tal6R+xV/oy7n630fxZi/Unc+JcP
9xymoKhyEd78ou/ZJEgEoP2EDznJcOc7rT5OumeKIBjbW/Miwpgz2SX7LJ9+zBtbih5Hop+nwoTz
3X8ULWF7nlfR7GwFuYc1AyZQ79Z+poxn3izN+5pQWNoylUPaEzvqdtSO3ZxnO99uhj677eXEqII4
sL2FUqsMR2JqWVeogNnrS4PGdiEP1VLAfkcdBCiYtWzUI3lPs3paLsAoNa/mfZc5HznmpdBwp+HY
GSz4eVO7DTkNF6kUKWO/uXR/+lZ/uXSQi3xAspakO/grzK/iUeLy2VTraCg5N4h7217WJhzz9VSb
SJZIST6uls/c3UQPf5X147r3yx1VwEVjMMsozhLfDat0ImV4rJwdCYnTCcZeGjaLcUWgEufdsqAA
tvL8SDDo73LYf4F1XtR+/kUoTsQO/0afc1HO/e3Ry9hL2snX/kHoNueI409bSS7Tkl5txvBgQrmI
JjbnEIcwli0hxp9MvMaThvBxnGm4KbMueMVmQdsD3cZvns1/fS8QZzoez6VLVvKvNgJwgKR/OJV/
KEwaVYwioWqIuNa/+Zg/bbC/3kcf8+3lFWBp/9Xi2TIwtvuYGEPGnytZ35LYunnWYwQ9wvkuOcCz
Rhbguc24jgg7cx4yilDw4HNXXKHZ8e/K1SuQzfCytKqu7gZrFGtQxJuxszPx1A5F//I/X5o/TZt/
/5lZr4WplEA6aXv0fn6RaRKoudGQ4NmbesmisMlaha6gOZjHRUvmSmq/+MUd2SPNV/K6TAJ2pQjT
qUzPq706EWKG9YfK/eUv0N//F2n/xreB9fli+f/vRdo37+m7fu/TQb//XaT9jz/3l0jbE38gXeNQ
RwSsh2DOw52B9uLi6JB/MMTl/TLRe/5pz/gvkbb8Q0j8Gp5nMXzmjeYP9X/5Nkz1h8Mzgh7VkixQ
jFL+E5G2Kf7U/v79oeNRs23XZL3DWIL+5yK9+9tqAaHUW0hRXHbr0NKzdS5piMvUM1zbUvszKbAC
h0PFThctLCQas8DUsfYlwrzyDdfIdp6bo4Cqe9W8VZg6/NtpFJffUffyw+rQNkTZZp3cxSY9hQiC
xSQqJNEpfJW8bL8ocpZfDVtlyaNY7bn50sm67Ml2ywbCkO0aqYGunZg0i3LWmjCa1kc+zpmwCJyJ
dGTCQSWJWb6sKM9XK2Y5bVSd3NdDYn6Cy7EJN0S0GXbF6J+6ojMeJEc/ZrnFNlUR8ek2LanM7Iq7
mZSDa0GzdgpUiUTcrPV8Jl4Oe5ZWzRTfxgCjiD7yyHsifle+kUxC5TQbgiF458oLeD8mI2QhE5QQ
00Xb+TU2DbPnaN2nVSiLJdFRM/U2VtMkT59sj+TRPXKcVESr1O6GCj3P8jsSHpmOZItE5tJb14aw
1mS/kYBRHg14z8WZJDAGk84lzzVw8Oa0wQoIpw+QQ9tf5GAWa8hgdCTuSaXRkHMoIjNFIlvom2tT
eymhlEn7tTeND0VCRB4gLbsI1/xK0X6ee+bHo+MFvl1mr/xtkLinRN/HDBKQVZQt6QgbEeHIL0Ri
PxSrsyU3dRLPceigOfWDxegtlK7rZiAyaZwGAZ8j1HZjEwxmUFGbrUNlutnGkcCI/FV7G4OIkdnb
dBPrZfVDlWW9jDy46/f1sphzSIZTX18TQ9YUdA9LDoTN1JpHNRDRHPZrRrClsAs8Reg/0RMgbRqn
nULYc5SLNwwRUWYM15JN8t8DrYuVnleaxXsm9hNRHWvTrzvCQKW5S93WkYFNAslTD5GqPOaLZX9v
ieF4rgh9Ch2aKD+aPjaXM08d2ZfolFdyA/UwLOybSFdSLZCnlP2A74jVHPGb4dEJMIihOue5sL63
vokAIDVHr9qlS9IzZGV0toYrlsYzIVLtFGStLq6xmaVfdObeu3XhcOSBKREOcWecktFMyaCdXUE/
u2pfPQYpD8aY9t82f3WufFUcp0aSSkLIrCcfY01KIxLIbIBeqxPXQQxcNF04inZ9zP43e2e2G7mx
petXOS9Ag4wgg+RtMkel5rFKN4QslTjPY8TTny9rGw1vA90bfd93Bmw5pUxmxFr/WEvzhTzK3CBV
7pcIPU7q3PVT4qP+bAr6LkRt2vlo7AQCKA/78bi6DekzDI7Vz9Ey3V2Y+zbi17ClXCaGDG8iC13y
c6fTS3snAyI2JiuQdDoXtXftjrgpSe1HKE3zkpU454nSDICEpHJverS2hPmnjWZdyKvsnQ5tse7o
L+FpdxKLvp+WNpxt06U0RwV2/GqZMj4Yfy6iam3qL3pukPxRvbZPYnd9A8SuItjUAFMIHVc/dZnw
vWmR+d4hze0j162ac22X8zMQZp5uSo1VIStpu8qQId/3oQc670KPHKe5uaz9DgWzRIOJ6tjhe39x
qmI4U6GXvHuFSMOdGccyfijWzKfjSaZzfKA/bdlPAj/X2lqQszlKD5xUtgMcyHX/nOH1O62og9jk
oR0orVKLZKn3VfnVeml/JXt8ARGDrnmdnKT+7OZmDimrlmtyQBwJUlEVfhL55TLvXPx2t2nXWNCC
AkfbjHJoeWqXLEY0Rk2gu03LmmQE5JodBWwibq9m1ZbTYdV0SyADsVm4ISxUESFiyu3Is7sBEkz7
d/Usmij0QXedhCiQlyAfLHu7kI1DO3MR2lsqtTDjMuCo4LOytKQpycgDhUw8nukblSb2n+NUUmct
AKLcrOj34ZR223QIFFIolrptA3Fq08CYdUflDh7fUQwRHPtFMl519LTUz4iZJUoutzW72e3ix0pb
9nOiUWlulFj8eYe2Olt2pZvnD0zZPpE9tkBqGtDTZJ0Z6/MPMOtmPibkWRU3roxNFCQcOSBBstq1
KLoAzthC7uOsSJ6dgGNuOyerM3JeZFijkYzyJFL1TsMNBaDLS6hNZzivnAxuiXc+25nWVQ/lSuVR
VOq66qIM3TVYp575RdBOUoFI6h0XgPGpSEtb+r6i1GKCOGWBcOldhJbcgcyRq+IQuAeLlcHrxa6x
TlPtJKd1bdosousuHI6Iwft4jxgmPFLQlX2xo3dv9dQ3D9Y8ZvS3d5n5LFwK1DYNHhqP+2EKmi0v
MVbRPOU02NVuURwHr7woqelF1JRxG+FuEHfyJtToIugRqvL7oTCaAaGX8oN4Li66oK7bZ90Ew01j
twtlmch1BmrTOFpDGH6sXn5S3a6qyR5lkM6vi27Cq0InIQS5ZZnHvLKDZUO29jDfFKHRz7Oxg367
5AXXEe20XXtc1RT8At3Rx0omzi0yEYr/GmtpSlidYukAYqlg3AYgghsngzW+c3W+6iMi0za814EC
q7Uo8ruxZB/+VJ72HtgJzp3MsxXAqXqcqjCjwd2M6TauEZtKDrltnMwW2lzY+mBa/8zbkq6kljNT
2EMh372+CsooAUN9G7NJfg8t7RSpuzYfhWWojmy6uTjZ6wKpcLkA0BDlT9rNWaOXiYYvjVc9QvSf
PVpd7V85nW+LwywRP5ATC/JR5v0GSCXJoi7G5DqZBMjK7VI63TqPXcmPqUKDKATHT4R6dEurKt5T
Z0wgcgsooyY1x7WyQXraENYjbRfpRJc68EOeNDTKBY4YyWpMlrOV4j0hP3YZd7WfaX/n5Jl/O3cW
IuTSTb7oG01/poN+BmsHzBV54mY4Wfpmn62ti6pcAa4r30ce1nMWoU2RRswnpKvqz85KW/SsWAFo
9c7zk+Nq7yD6OHhwKd2gbytznpGLtu+ekw7NLUHO8zf7Yr0wGxSiulNj2pfbNF8stfeEYRXVQUsl
lYM49ti4xfpngrz+a3EpgnqlKrTODqoB6Omwi/UPSyx8fyfAdsMrF9pqvM5Ch7cxIaZIb1xW4y+Z
lDOB1C6FoCdsFK7idi4E5W7wveFVXcv5qbOpC9xmhVU9LeHQyFOzqso80kX9OA80fF15fTfrjQTR
eNC+rO1ImvTGoQrnmHmEzyJo6keU5VxZI3k6beS76dpEAhktlodAjfeZ6dNTFSTBVY2s7RiHi7wD
kE9R8owLBNAKQk/BK8CCTf4p+mSFetKV64uHKndHFpnYImgXTNFN8GpZyA83VNUG4ynAOV1/oAIM
2wMHbfiss9z9mii8R3ji9vUdDcTd68QWjNJFL86VBDe/HkTjlyjTEucNf5PzqpjVbofRSw5hOSfu
tql6VR28SrkUMIlVblZovi6SRet+ckGWW66sAA1MYMm3MR4+RN/FabTOJQg7GH5Lt2PXvTmZ11ob
B/yZNvt4YuCwMl2/dsmUPNOPGBCigbR6YzMvPqH8WD3EmWEnfpjF7aKwo5n0cySNlAYBl9M4RqLO
TP7hrEZFwIBPeSGckyUkJ/+IZCW86ghHVkfbOLO5Lpyy0HvI/Sm/zZpZii0iez/fWEgZMGzgADF7
/gknAyTZnEZIZYNkDwrf7ge/k+t5AtJ9HrqBpTwTiXhC5+NkW+FyladUsz32ekgeefbN0cwGAr8I
uOYpDpmm+4ySyoiCvfZsl4PcC4upICvdX8i3xEDNZE8XaY9b5ATBqdM3SLwUXkkgB9tU0JxMDNKm
zV12sPDLuiUQq92s05TtOpWuV+gLmp1EZhXNA+3l05JRTTmYIkZM58OLyNTzbrs1HB8XKzZYY0WG
lccLUAGufYFeg2KJY2aFloLed7NsZ6tUFpE7W9bPdFSTdZVbbR3inK38l0XOyt7WuevICPar+bTL
wCcsk4v2lpZJljOchQW8LxGaT5le43LfZMjzzeKZnxSjLu+C30Jt8yW1QTB4vyFbZDscXNmv77gd
Rpt1rHDvslTazwy4nLDEpTOsT316Fctm/YXsA4Ra++Wph8zOjnPYuDcsDUF81eWt+DNHmEFwLOvM
liHDoCkkRqCPTLGu76vQcbsRFJoJPsUY9JxCpwhLDooav0ChtuPLTOP0gm/kT76+6nqg+ZqEFMfm
dp/dOjnGaVq22xkHwGJ3oJ800lZ3wmYY2sWIuBw6QNNY7dmIbZoGMytnq2K9URFLriEMqBDv3sgF
FqFqYH+lqBxHgSZDDUYBD4N+6ePBcY/WSFTiPhvq9Gvueu80p5PzExlusCVOvD8WLce8EbLP4OsV
Zw1RBbsescq2oow5B5llTY80UCosDEKpd9fq4rsEN+JBOX362mdBGWwTGoqLfZyX6sH0YzNcdQ0i
++2Aoi/e0GSgdkG1hvlmWhIyS2cBUB5RkbveBS2FQFEyZuFXFiLpkkPyQoF1j8Mqh+ZpakpFq9b4
e2IK4PwwzVzpwVmQZnb1qV2z9t6fO3vb9kr1O+7mstzpbBoe+5iMZ9lPvt5mdTZ85mOqxn0owrE/
+ig0Liv7+IWdc75b+7xx+Ntsv4BrTxIu6VXbH+642NuSz+GbLmzzOKdc8Eyj6tqdUvWAoos24jRe
bhpysBI/9Eb6cskpodR8Jv1JfQ4TAw/lNghbRL2cl5QtSXT2YchLJt5ZyTdj0i8et5X3OPM2k8q+
yjmrTkMsq22ZITitcibk1VG3bmW1V5U38AvNTXtPyycX6Ngn78wUUPscfurJLT5s4Xm7jOeIQb+W
20x79c5xG+9U1Hb7RP6SfeiDmRKpMN02SAcOTlb7X1NpOcfY7t2TbIujqQN4eDXBlbdrW+/zqpdP
veNgLsOi9mcI1XNG7rX8Zti2boyQZx+O2l6P5UVavuOQXD7NpDAU1Xie0fh4wdVYdAxdHWRqSVK+
1X14hQr0zij6O/Uk+yMdd86uUNI/5Hm7HFtIah6TtrhfAqlvccyhJIeP1dfLOjMVBstofmnCyBEP
MEFGnlsFz9pTCqoGnYoaapeduAyipS3srWCS/1Vaa3/ox+73ZfKjo5zUQYTiTTeD4hAdaRzMo1Z6
GC2rJkyOxCUdiB0oDvWY4i+RLeBHodrxhXGXfOlSD9Bkv3cOJPjbbvCK70Cm4Qk1nXlESmR+4ndR
j3WjYbftlFSkDt/PsKmpQ4xg60jAztOD11BDK5Cpp6Wj7iZCw/iD1gBu16Pg8yCsyt3LqYlRbo3e
9Vyyn04+tNPS22ff0ShVbM/3HsvQhdSo+vWhtF2AIzulHqOoix8dKtUfmEIxjE19f7vIxdm5tRb7
1rvAZ3jpW6h9MkO1d0/yttpRfIxWxRabTurpKFcfjS5Z0m7nu2ftCYdBKjRb4cluV4vRY0ees+t+
SKzdzGW8VyEsj0/G7DUHFbYF2qffaqtr0W73XUcJg8g2wkmedUnO8CGz5/VZKaw1y9CMPB/h5N0F
iR8oXANK3yyltew4cfWmkTW64zHBUkgdsTivTt6OO9C0k8Zb9dPKA/vZU92IXaUzw4uZKbQWSSHf
ujW3Dz6qVT5VbDKt4vNHmDju/KHMk6tuXRhDlhQVqud5zDmm8P9c6/JDWfwha+OAF4ym+kWjfXzg
fGgeOxxxjEOxdVvKLti58fI25lysE/kmeDJTInw9SmSjvCRhpin929aj3Hozsg6MmzBlvdnEi5ed
7aKvT77dB7+wTt5bKFyjYbWQNfuxvleg8LvVgst2SGPcXICTfLVImVzz8aRWAzalG6Nelai8n15h
RTZdWmyYU3b2u7E9oI0s0T4y2N7Gq6f/RN9FKEWx2t8QFxb7QOjdTzB4ufLMeNtaulhu0rlNmamt
9IjtCReoI4adJYf1yOitv9Mgr+6LwRPHbp67XW9XZCLZBVKxCUv6HJB+ubnQQExSxksE47BPDHuR
ZwbFCkvLAz22lC17tcOl9y+q7f9ohf9AK8ArXuqB/nta4fmjysr/d/vxNf2dVfjrx/6LVZAe3DIp
Lx4Swb9Fv/jqD+FAOCj1O/hF+rzUX2lQjvzDJUICkgmCySeoA37pL1Yh+AMPiuCnoAJ8JmNb/W9Y
hUtG2t8pBciAS2QGQSO8moAN/ndKoWfsntTKxZ4l7b0TA6gXVveOUjGJeuYsayyu3GE1x+mixvvb
O3X/rxf5twyS35Hbf3/xC8miiLbhPQG14g/99xcnEAnngM8XySktc4xHlUTWSDZSjwVrM04+vEaZ
i+tswHo7wW5fj42DnUljNULfgMIzHZHrbWiyXm9nLwBVN6uHp86sm97L5FXXhxe13xDeyGwIIN30
3BxjQHDNZQwE2rf+wxzaXnHTVgGbvFLPMr2IURLB/9A36OvMujh3buMwUExquCHHCutEVowwF9QW
XHZj5N0sCrc+uM+zAwqHK6SS5qHXibgWwWA9+wbniQqa8G6RtPv45PzcJIVNgKhl6Zc869xd5+N3
d/LVYH9W00Fo2zuHuKEPl9nlZFwgzmjt8VtvhJ9aBYUmnbjGs6doo7ayaTlZXP7y3MVcBAeEhjF1
SNRl9kzvMDOpDt6Di/0Al3QrHskwTNpoqEKGrdHiXUPgeCQPZrgeUe8fl6JLqweAnJnpXds/a3cY
AM89q9aRbWp+NBTL8mOh9AfJUbBUT7Uc3iaUezvqrMHcxHgOaveMHag9JjgW0TMEHISd9a4mO7yx
J3dVXJZrtynpnsfPi6kwO6tcruPRVOt6O7Wd4cMqivMcrNWhTFVxEKzfCO26oLmuEVKc0nKtjnJO
l+dENvkhjJdkm/UTZqEhsHZm4uMeEG58lDUpYWRL4B2l52I9FFZ4V4H0XodFluwLNrYbaRWYK4gV
ZfzB0+NbQ3B00K/uQr453pb6dOdaZwtdhJVXocbKlxhhnVXy8fe4k8KpdU/cqOumtrB9zyAnWzVO
w5tKnOCN7nb7pkVZ3a+Jdw6cTm6Gy3M+JgiCO8QNN1L34fMM/IYdaBq33NPone112HpV2HqbpGM4
4hMcnn1Bht9FjVc8BckQOlyokJZNpENrSLfwBAjLSTBa3vNgks6+xQZp8xbbyDCLgal3R4ulh4jH
XOpU5SLceV9lmbkNal/+Wbvx+GjLGizKJ2TjoKmLekI24v8yieif/GUIX8ZxEN1Gp5P1nmdivc6m
yn0m5QV5E1bMzr91U4ipHWrupt9i7IiXvWPRVwbdmkO4AbElly6FpDmNtGf82eoV896cC3Gd907v
vAfBoGEIPB2hmSDTIjSK1o+1L++XKi+2QA+o/zLhYQPpTjS2enhfl28zIqVnMFtY46T8xpHUfmXr
kB914mU3cInpiX2pAINoqeJOOjnfqhACyvayli81kPELnSXhZx7L+IRyz2wtD9VLPSwLW9NQecfC
7kieyJxhuDHsYzstLw4poi5waS7Ord0YAiPMXO+npcm+iXVydguM1mNtzcETymLng4J5dY9ZeTrE
acxbuAbDC/5hEmHnwb4e16T6QeBI99pgaHrxg9A9pcMCNNjqMd56xQUxnKZiObSUX9fM4+U6RFmc
Of1nyeaTnFPZJ/jV8zJwX0RDqC972hj/wAF9iHOdfsexVP7R1fZkdg7grDmy2RuglyzXO3i/fYCH
AjzYM1WwzaceIUUCMUzo36oV1JUV9tsVPeYHTxp2mRrvGweSH+KrtjJOY1bTPolSdOj5niASvFdS
ThWTVueH12OrqytDXcewR4rnXMTVIjjFXeC8e5YX3k+9mU+d7cdvA92T8Ta32F/wUi0ZNup45msz
Z1b8gUAPMwtGtOWcIBx9JT1o9E+x6FH2d4DRD06Xl0PkQObsYijZj5ri+duxx+56xbAe7mZL/9QI
XMVWo8untbC0nupJtr9AcOcToSXpbvGJkdjZEzl+Gz3rsYMNqOofPPwm2VVmXpNo0UUoD0U8sj0h
tyMHhRQTtUSoH8chmsYOOaa7tM7PtZ3ldh7TwtlXqV27LHzd+NOql8Hd+WBxb5iL7B8dGvboUlLz
mU2jiKRrwi12834PlDjcLasKvwZJoa0NKJQfpDdiY3MUBpSoNDFdFgn9PxH/WXbuxs40UdL68jnW
K3pJ1JYwC407dkdsavwCVWEKorBTs8QUA+dAJch2KZMphqJtOTOR6BBPfskNbYqLNTlOvAkuXEmz
7oNiaa1DpZqA8pnLvRPQl/TK1YM+W+e5P6GYmtuXIhvNuejzcM9HVkcL7pu9W5Qr7mxsLFkSgk2B
xIykw8xDvSlTaRGB0VT1fRcPE0smX4fWQhgAMe7dD0Dr6Y7EEnmXz7O6ddyyjxJUB9eV7hdOU5Oe
q7BbDmkxweOz1eR1RPoHGHLYyvTRImqTtEnbDHCQ82JfvujsL2bsxS6xw+CLsDeeW6JS6ZBpinD4
7sFl74wpZBPZ44rPhSaYJAobzCsoyt1tYDfjg1VQBDGq9T5dnPARgiN5dUYv3zRC+xFeuAmjWEqz
hVtX6EoJQbjG8JbeEf3A11Yoy30pYR8+cXUVfGey3oeySDQr8AWqJ7lB2igwvf4mMOk1G8aODZAL
eeoA3uymZYIQ6fO85svtbFp+OHW74lY0lnOPyFreuqAZM3ZeK3tckURstIt8NI2BAip6E+amfJws
srasxjgRM9k+sxN8G1J+AiJ620X1d5A/xJpdwDc3b3k9fvDiG678q7HBFW8K+uwqFJN7t5UYAoK8
Du5hgsGe1AA7ty2EK+B/VNucAYqDH9xyi9o0PFTMQQxC3xVIzy3r/VqeggyKSWGkkGCWpO9tFlTf
yUmkeKg3Ah/MBtVe/2vSILoHN8jGzymgIn1fIcFNN3Pftkd/FvZ1AV3KSh2UQIQ56nmPo9Wrh01I
2s9ywj/eXnhAw7RWVFP95Lq6gw4eEe9DohDa4yce92E7ZdPb6A3ibekwWfpJAAtyGVWweyl8DRs7
CFxiGjpbfZq28B9cQLBXxzBSRt2cFVdJIFsZjYLpa0cCRPPSJdVAMAe2E+wWuDrvu6E1t4Xdz8e+
9t3n3IrDoy1EficTFfxYh6LHq0Atd7MtArW2mCEytHcFZB8fHgd4S4lDyY4Py9T/CguRpXsg7Epy
o+f6yQNewUNDwrsb1Tq3vaO9Nv01fZvpsNNJ01ynedV+j6h6OOJzBIaXz8XlXMUfQyCIcjnEsnnx
huu+W8rlrq5ckj36xELhjtxmNjs3sTTopL0G9TZPHD71FmpVkUkUZiWcdDt6e0+n4mkmqMa6gtxN
7F0+CzFfhaqbg73jFAwdTRleTbNfBow99soErGLE2dot8PHk4cC0JoLn1izizU9t9caXOp+vHLeX
Z7TE67Xh0Ck40gv/RbfxXJ9XLF8dNB4RcuA7oSeR5Yc9IysQ2xl22PoI0DGvsN/Gp/XVZozaLXjL
UCizOcz70VYAz3wmYX+V6hhjaznnr9Shg74YoPXg5I1LciqbftqnfWf9sp08vipiB2GPza1y0uvC
UdwEaf5DLq6dsiVY4xufdnvjOgZUzlRyPHkc5vStl+Js3IQqGS8erzF8lBkkS4Msij99p/klpmhV
7nrbznSSYWROSJfKGY8mDD6d9zzaooPP+5/3sX+0iPhoUBG/OaiACS/G//dPHTQcMrx/5o47BPjl
qRmTP0kzf+qc9ocMqyfh1VysfhpuGTLfBxRVD//z6/8zJfLy8somfZPpjtSvf4bwE6AlqmKxAJ1i
sj8t09bXvPnlf+hK+b3R/tvSycuE4rJx2ryOF/5j6dSDAVo17rSbk5GdcAZGi3xLWsHRTS/K/2Ju
K7ERIWB+zfWEGR16q9pQbof1edXeSVv1dK3aanwsMj+8ubxlpPna4tZaWv1DCBaFDFC6Roec++M9
bE8T73+/Vf+Hx/wHPMZRwuHz+u/xmPNHX5PXXXz8HY7566f+CucO/vA8oXD+qctT8DuC+y+Rp/sH
N5FnezwZKAX/nsTrBH+4ngMc4wb8ApcN/b/gGMf5w/OFE4b8G5d/INz0f5HE+084Bhtv4AsyGlGZ
qgDK898RETV4VuuP4bjzhouXTN+puPh2AvA/NhgrHh/mpvju3PE/VeAG/j+/fVy8jnDYq2zlefwt
AE5/15YmKSeTMuW0U3HY0wOIZG0Cd+hxBmDxOgmbIshNhv5VbvzLnb3+vr7Ly03OZtR+uxjX16gA
i1ewEtz6TaCbMyZ9RoEu01iSkgQN4cYedHDvlt06IPmZ0730YkGsAiWBRs3+lZWMiBiHkLGjvkwg
5WUWAZ+6o7VbbRVjSn6ZV6aC9KsQycR4mWX8rn7Ul+lm5KpRlrDPMAo2Hts+f5S/x6EVTuPW+T0j
JU5x6w8Wg9N0maFkkD8nYcDrMTUPB/K2qgftNbuiza9zmQ83RctbsWLoNVA+WDQ51y8j23KZ3qrL
HCcvE934e7iD8UjuOBT6a2ToXuRAFG2EYk/etJfZEDg/30hQ8dfsMjkqb153sQFXTsqG/ggxPWiM
49v4Mm6OvyfPonetvf49j8rZCu4Waxi/41Uwr9ZNyOya5GP4NbbENOz0gj4rIa7lZf098SbiMv3G
l0F4wO+O/87VBbe4AJRhF9DLgTzE9EwENdQZ8M41oiY6ikmAuV2zyr2zM4MzGL2jd99dRnJ1Gc6z
AbHD1K71/ZrgN4oMXrJ6Yy4jvfIrpvv2Mug37rRez5fhP72sAfllIUAlbM5gA+1LVwfsC107WMnW
v6wRAh3qVoBFWRC7lz1jCiCK7xMBtMN4i6OQ52BiFZ7rrorcoQ1HBtnJPXKdMO81qW1eq1IA+G+Y
NsYRGQr6jk1bBvqO/w4Bklhq55dn+R5q3WkmFglB6j0CvoFCrtlKvGi61K15jjWe0DkhMwnqJp8P
yUxayGYg6/Tgpv7abpuk9V49DTZIjBHNHFs117Cv6xgEG9UPEK/AD/oUVwz7pC567c00peM7KZ48
SEVn/0jsJv0Vj377yTuTPQ5FHd75hQfN1GlUaLsM6vMHiwM4TDaBUIm8JnEQiGW+V+IS3GpE6hzR
TofEWxCX8I5de7hSJldrFLtzGW8ykp3rbSodvRMIk/f5UOon0Rj5WDsBctAFZZEhjr5D423Cef3s
KuikTZ4s7cMcO+H7EDTpW5/x7u3coG9uwrIk7ikIE/U6w9ldwgswpzOtrx9VMw4vyOtKLsy6Vx8E
BCAnb32y9B2npxVAoZMiCM7pnF/WkDlP6dhWr7OXxw9qlf6PerqEWmFlJ55SLIgIEma/CcvVTATW
VHvVE73K5IXoiZw7PGUteQi5IitzAF6Q+4w0SpaOHnaV6BlfkECnlNmltggOGM6Y59LEEBVJwuyR
7EGyBNMi7R/7Ze7QQiZ2eTZQNg4BeTGnCE1X9N5X5WIRnqSHih00KF5RvoKkkseD4lFhZ/q07b7G
le/J6mg6C/M41jBfn0psK+j+sovCcWKjxccX5PdWVab3YvS9CSmn56PWJG/yIWsC+cpHStZFS8Te
RgWt2sWUMz0lk0y3busC4EiveigRWqJTHJTatGrtfsgBcH+zcgz9XGxXvXOY84kGbW2lm8F3kLu4
QWWF7CIJyTbJ2rLjW8gCDKkHC8bxceU3tdrxakqUrpko89CKCCnjWJjjGJco2rj5dhnV8lrafW4I
qCnx8cczAhe2lFD8zMaBKRejodfubMeq0QBrO7/JQzHdW2hccZ2vHkrvGK3fDsGX+2OpTPvVJQah
WJVOHOmZHUJcjaJPTNSWqQHjDEDLT05sCR8xrixuq7qy0/uGjrB0h4dKXjWzStLDUMoxvNKky1xU
GA7fLmKMM7V1u9z6WFCkx5FO4n6AOK3j/VAPsKLL4Lt7V4INbZfWkDsTy9pyIx6cHjl3g9B/4zaI
86JmscNtFzfa2ygaffhP8HYQftoHE/RrW/EjgbliC2mjVgTxDU9S/+7PFlFjRe8DR/XV1VzNxdnk
NgexPajyqFLNDVrUk36rAodDLwmy5dYdi6DeVWhxXwyCcRR5rC4dtl/X/2qIEHpaC4FTD9NJhRvA
xk/kT37/racZlTmMQxpldT7uZvooiE1ZHDyVLVmSSVO91U3SXyU0cGURmExFomeZ4L6ozbkSKN8s
8tDOGETlTvKbYwzPb6cljTcT+5DeGAapP5PYK28pcRxIJFtihK8FyW8sSa3n20cMWjbr1RTEHyAW
Pgn9aiz0dQM056AHm9M3WxKdtEV6eVGeriuYfevwt+Hq1j+kkeqZ47e9X3tiiFgh9c+G+/laiWTN
IDEF1SITGUMbZzAIORP7slcTO4p9X0xOR9ikLgxfQ8vu35fJG+9d35rhX2Nxb/uD9wuNnBUFcWZe
PL5In6GyYjdiscv2a1MehJthvA2aESVPX479l8lm2AyvG3wvCkOLXFg+NPGQud1EkwiRTWiSi5Ig
4dn/6U1p+o1Oq0ojJ+2AHpCokTM5kaKPrAcJIDEmZnVnDOsJ9nCNc+KD2yV7AA1OV44tOldQoYB1
lttmbC2AmY5uvTsbGUaHfguO6FT6NZlQaGDd7dBPMA+yHPgSaOSkg5V/dCKMb5u5ecNjnW7Jf6WC
IAf/zyqEaHsGA/TN04j78qxTVz0pI9Ml6tDrqKiC/dm36WqhQeedABPBCTFh7s8R5QSfnRjluSbd
Gd2x77CWxg2a5c6y1PXkOj9pJOheihV3BdrLsDz6No8Z7MiQdRtHMCRAUfvjN1KNvNt0kw+EivM5
gE5QSbyffrs4AtrJST5F48S3UyKz3yyL7Hlo5mpydnZALNNFxms152l23bdl7HiiKqeuGYRKrCMs
1A52aBvQMDA0e2+44J3vvojJR3II//yRUcFtCPZy1zv125Ri62repZlOqo2fYqq6xnGir7IuswjQ
66cAQzeay03RBxfXYDG+y26GvCsnlPOJpRoVyUHnH6Rpcwr8y7NEwa/zRPiG6x6TuWU2YbFfXpZi
ITtO/7bS6JjlesMjgMWmgNVPbrS05aP924RTLgpDTmbKjnhAWXenUQn/qwLCxg4eR0FYlNu+a4nN
uzh5vNlN35ZVEPJiGSa2Pk4RKlY49Wdb94TxrSyr5Oeiwh6xB+mLT8j2onr0wF1dixjb0JAgPgbV
3s3IMsKABcYGYhghpxF308VrlChcR5XE/2t5eltla31McFLkG51jT8pby9ot9DvvxdCDhoWxy5U7
x/fIn9Aa+VNg9kFffYZIKN94EiU9CNBm6FUk37DGD+99JDHXebouFv/H0n80js6anT2SomJR330j
poX3jy/F6+ouHFellHRZBkOu32LiA56H34arzEBDQL8mgwNC1E7fIdPgp4trF1Txt1+rkbE9QM85
wbcEzEFAaKWYtlpqgzYNCUM3/5+9M2luHEmT6C9CGwJr4Mp9kUiRWlLKC0yZkrDvCASAXz+POYtV
ZfdUTd/n0tZdXZkSSTCWz92fazROTGK/KCYWT+EiS3QZr4Sa9Fdi+OOqnhv8wzOLyqIuw1ph3Lwl
yMIyijlU9v1o7RSWXgmQb5wOzi10Nv/Kn2FEwiKUxeTpXWeyY7axsslPBad5JqFzOpgYlvJ2HQkv
ecRZa1yrCTFh9m2oWQWGL6b/rc8oCtYHI1RwsG6jNMJd6RmHLA8H9vspITbnx17wVIXDzKgvnDgJ
slHmDfwFBpgkMhp88KhMMSntuuGEZDgTb63vVM+CvtxNTRLOW6usNo+I5EgkUCyZskVul3+blAy6
Q0Eu6ZOACnE/5GhORSUVZcw9iI71i0iDPjEVAFDdwUiyiqja6WliPgmbvHwtuRmDT7Lb9D11qsjc
cI11z0glUJxso0S2tH6FEKNbHhENAAxpXZKoXA06xE0lHWGNbMNVc2mlTgdCjDyGizaZOWBTRkXx
r9MCbPNh8B1zCa9lAw/BfPJvblxt5J+wTEZYRSNOqkUr/BD6CbUc8MvRYA9eq91T1SPSLGitCOQh
KaR5CFs6tFiW3Wzfp2770NlRjXKTOZrPkQTOYhjrdJsQ/dxrGbn10qjSD8/vgDvikxRHbsnuBb3h
SPaE+HxT7QvLmk9jnD3Hs1esei5f68rWW1Lq+TapjH6FLctaaMs7d3wBzggkco0dFMN5zpi78jl+
tKgiMfDIPlsz8eZiQYBjFatcLUbki02GhXRbNqK8aKcvHhBBqlUvODWCppuoxtlyz87vKhISWJO4
iwCR4XAxph50f4hh1EvvFBvbMuV8GXWZfii91nwBLIyz2aH1Z1W03bcyHEiRJoQWBkKvGC3SaeNi
I8V4MGp8acrD2T8G+9Cn65nziRURwiQWswrChpCGyECv4Fid12abl6cY38MB8qB2lhUEa2rCZPkp
O+pFpNl91UC8HqJh6Bf9UAZvFYLpwQec8orEFH1INtClzxuk2hywX+8QVl3USRi7a/7GzHiYcTP6
y9GuR068cVc/FW1v7nDu407XwSSebPhjxzwskZkDA6XAi4fn2m+y76EysU1Z5mR8Dcovu+92xjXo
FgMZrE0ZSnPetilIRFZSa1z1Cc7ffQLE+cMQfXs3CdJAiyEO2MDSkcKOBWG3TG9yBEIQyTK4kCGW
6QYRW22UqwfuOGaNsUQlAqehKzgprLLbnlnLGl8q1kcWKqltna04I3UH2MEsOz2/2lsPf3xYjSrB
6ztiXwtZ/i0KiVzkQ2eDYFyOS6vqnGxZ+8pWC7sU3vfe1+KzdnFNrxwryKaV7GSwD4ZgDKBX6y5a
2mXMIVrbufcpIzunQWCIj53u9IlkDj5s04w5mCqRej9pQ8U56ERNcmEsUO16ZdtXRKWBhjSJDLCi
n5KyhBBbzbKusS8AmbgJMAkKNWLML2EGO6t5p25qTf5LuOl/iTgVLMGf/S9p5//no/+X+kI/MEmh
M7r73yekW5UShO//OB/9nz/1XxNS5x9Eyyl59VD9LBNn1n/H4D35DxHAPMAmxroHv4gh4n/XFzr/
8AWm1P90qwnX4w91/1VfaP5DCGiSJNYtSyC5/lsx+N/nlMxtMUCYDGMpe/KF/xsvJbCSwetY7de9
SzchMPRp+hZb3vhv1i6h/noORiIv8D2L1/Xbj+momEr1zVTvOdnwfSCee2t2iKgH6TPmQgXI6D98
Cv/CDferq/2PusTtJ3ouKgymPyaX8rdwf1DMmVQZHFFfjAHjg8IE34pUy9aPQadcFV6RPEoFMakP
5ZUjQmBg5y3m7yWR0K3ZBOmhIwxCVI3aHeDX6SGYcn2P9WS+E2NW/03h+z+hS26/Lx+5g2s3MH3z
10D5DzCClCHPpMfSX2dhVXzoAXIHIwj+k5r7ABNHKBFcfTZdbPYfbWXOH2qU+mWK0nrrqgpeAZaW
57Ia+0ME4fDrr99O65+fE349m/o8AR8GrfC3ebYfNERkCVmvlaid+2QW2YgpvLJXfqfjI4scZJpS
IFHnvQ1qkT7yXY/tDwyjL3fx6PjfLK4O5wkUixD13oyNywhVkyPDgAINu3PI3sjfyu0Awe8hJ7X+
QzFa3mIuq69//Vqc31WB21stUR2kZdsOlW2/9TdJLL4mq667rlUe301uy77EjTNajbWMD7pNFKNo
23TXRtXpDzohqnCRM4zNAJH0LvHMwLiocezfPGfggCkEBorMcF9HkeGXc+/9NrFWhAsHjiJGdOZ+
Nuz7CusFDSlvtQtFMAndV/IX9glW+7JEl5BTMuzqySv2kGBxZhRlc+cQWSKwE2usdFYiwk1ccEJP
0VM4zUhnYeXaJjhuxh/SY/izEIqUFZ5yMEQpfkPmgEzu4VdqwteWEfSrah7T179+L399cX/7mvkm
oxSbK5+wPe+3rxlhji5zu8ldCzIgAFqykk1Um3coRVvfFl9GqsczjhCsGgXnyWLH4UN/eU3e/nDq
pr9vIg0jwGqY9pFvzVeYsDE3lKUvKHqy64cqrnA8Dl000r1STB8BFrFHVYfVMchH41XYWXRXz14U
wWsCR4a8Md7JTKWbXnnm3zw4/0Sp4cHhm3nbEvAdu3wV/izq1NKsB//2JeiyZjhFxY24zlvr7GuW
9Qdj8oJNQ1EjeLQcx2ojo6Ndu0x4HCnrHdAf+YwONX1CPTf/zQ49fjMJu0lisPY8U95c1n+Umygq
KYbc1fSoSMtd2m31FQ/TnsnYuPLH4fDXH/q/WAtQlfFMY6eWgiX9zz+sYn/QcurdNf55/9WsJqaA
g0rPf/1Tbr/yb0/Wn37Kb9/SnIIMr7Nbd83ELPmEIlURvCkxJwJSmP5TAKYj9X8p8f0XPwvXNsHX
W1cfrQJ/fkU8kjhzrMYlR29bR9so5g+SPgSnWtu8WmPHskthWEC5rWmWD0wJ2tVfv9h/8ZYCAXUC
X7L+O/zXP/8ChLtdwO5kofLeH16Ehnc8hrP/N7uwdftr/vie4kPg4IAgyRJumdL/zZ5useTKKU89
BJv2WndWtCzMaQvs/DJSSx0kZ0JYS3vUHyMFWCrOjfMs0EDYT/Ax2nQkBErR2BA71cXrar29qUOY
Gq+dRSIWcLS5rpMoX5iYRGuHwCEx4bldFbr5TPHl/fVb9vvzgbQLXI690hH47U3b/vNbNpN8aZTH
XR9HRQXVLUEymgAvw3U0/ubT+ae3jVTAbeNjYIuQjJb95x8Vz6FF9YURrP3cA4s+ZQZDu3k4Ri0h
H7sL1Y63OvibH8pR8LZ4/vHjIuzLesNxiZWVkMLvH5dG4LQKocM1Zokn2mPJujLbx5096le7qZA6
xNhdqRzbA158g+2IXRTQ3HsaEcLtzZjE1cj1V1JRFnoPXY1Bl8Xt1lRdb2HJ0NwUJm+h1b1VMAgT
U1fgD0hpU1eD9yvnluLrcY9f1oFe1JkPECJrwoK4AZOJycDN14v6MJkbwqjuvayYoOKDuqstI9/4
o2bMF+IPtOviohr6zW7tJnyBrnQsg/thp3PkYxRU6jx77049f5TIrOdyJrtaum702lHlcjaa1NoA
sQRPAPaLRhLA4G3np1tijSWuuiZP38Dt4JhmcBIvg7EbPqw8aNEXcTgRKLedtzGx5CYwi6e6Hh5a
Cf27WiRYrX6GpNrWhJ0INRhR8d13SanC6HPbDcTQDOhJAIshR36xwBecUEWyBzF6oQIK0PRwAxz2
3FZZn52dyfui8LtNIiIBBS9jXBkIINGzRsVdhexS3+Hc6zWZVvCfKRe73Ht064R5Q3PjXZZK0WIy
N/F0bO3YuaCfNUvoBOvRNtdBNe6quJy3Vm4Tt3hSA2Eqbrz9ZAVfk2YSq9VTM6hP3AHuS2JV2Yax
X7EO5PCtiJtDV5BX61QPZIgilpcmTe3LkLUkzAFcF/xdOWTDYA4Wgd1cioDhYaTk/ZBBBu9ryMmx
ioBYZhJ8KILucG6ZeG3FnLsP/SABr3Z8bIqxr7MI4+hLDn0ARzTsdmYD77ujYvW1pPblm07sLTpL
RaN5OsqHqipqrJ+k/BZjBJ2YErxmWuGDmp7zaO4vDOXUc22lqG9GC40hDustwMrsZNRNtIMxZVwz
DlongInxMjUtcyUYOfCTvfoEqU6tM2CPa+VI8W6Eot1jy3ZPVltDXuHT280phXOMgn60gz/9SG+v
UBPK2NKg8ADcaTtXT6YQN9DcdMbQfB8CRgUimep9JbLqZxiK+AmGJBXktko4gEsk3SYTBwOw7qrH
tryaA7DMFTGFi9/o+JQ11bwy60nA327LL8Y148YYnOlAzB1ysys/iTO+lbB00WVEBbK/RW/+5nd+
tXMizcR3wocb2wAIVBfPewZ79Au10be27r5R+a6YW7ui/ZFD+H2JZObtsPJCs4e2TblKiSmk0LgQ
i9aFWNR6u7StKXKDqoU0yi8lTK98gZFg3Cf8VqtahPzLWXllhR0JajZ6DzjYIx9fRlvL13dhN3za
bnTMwUMsujTwSoKi9rhMk5h/wYjix2EM5HoYB4M5m5Q3/Hm2xjJCYFpNPzrpVte81d7ZVawKfAdn
svDJsM8L92GuTfui4oLPxFIV4nun1cERneZL1cebOND492EDjVZV3/kp6lFm0ygTTUC1abOJn3ub
8THWyflomg0vsGq6JcnidIMhemKDaGBxiDh97xTWMxzx+sRoNL+4U6UhvBvF2qB1BGRQukXTeCO/
022gJJUrgDIN6yodJUPAEAkYwYkiFnLwxgjwTadqoWWTQrUCawZHp3kgDkspaMjVDhpo4bzYYeOy
BuIYWVPPSWNOdka6UtconI7k/ZExuv2cpU8hxChecZ1diK4AMpkS68Ocx/xaDyknfYnhbpt2lk/x
7Exf0Nh6ZyRAZ1XWcFCa0X4UAOTd0rEWSoUYeny1BWal1kFr/SiH5hjTZ5A7GYZEvBlQM52thv61
bQ3zscpqYvbjcF+6Q3inVYUI5Zp190qqVNDMQWfO94jrGTM4LMybKaWQbQGB+9hDY1ninKUZJ4tO
asYF3FtaLGNtz2BcKnKkRtPidqH+jKk8gWfCt7BVKh0eOHZQBY4F9VjZxvBgCDgOiQmoFo5+fXC9
rro6XnPB/E+yNg+M98Rpq/e5NbOtCP3kJSylAzjESe4gPtmv/NbVulOZeypxPG4DGFLb2Kvj9wBz
wYFRKZURHjtna00wiIo62A2JQlrtU66DwC9XHeLvvrZdhNrJJe/TZuY9ZXcK5BCLN8Uwl1Z8ZTFz
BOoyp+5J9j7FZIwxHywi31cPyfhYt/ktge6nR5N6p7WT9+G3Ek7Zq8qBbwZWLq5j1DTb0nXYC2Mr
3Tptn3xndImO73TNZmik/0rxI6PSOKgOqR2x3cbTAyaFeDVmdvTAZKcnDKyqO02G49gPnXsX2spd
x+FgPllmnFyAn9n7ttPyzgkishhBGt0P1GGszS4YTo2fftRFkz7FbmEub2NZvDDNulHdD1m40IVz
zosLv72tLkEci2yR40dGbfGmfecgexvtoVZn9wZj7rzyrHM0TMhYsodX5oVrQ0n/HhJide3nxAUd
0BSvvoWvwjCclyl03BVmI7a/ph+2zHUhdvSI6Fta7kvoJF5xi+F7rGFOu0Gbhg9gEkv3jbZ5NNDz
8JER4RqIyLjxvqEMYgNH0QFm01Sr2Sl48MO+RaMdS8/Zp9Ew70tpUs3e+w+SP49hzTAuZZDm93PS
fHgdFDw8TzYn4LwtH8tWnRAhd37nfJXyZgOYowc3C7zVOA2AunWc7ge0vqfITyhIRixfMI6676Ia
Kyz5dwmhCuq0plRATNR9kp44Y1NTZ3Jf0TNXTFpXyzwRm8ApiZf46Gwnxw7CF7/1xbUoevOGca8P
dhSN9+M4dh+dm6AgDQ1anC75ZQzTQaQfzYBit7g8ZAnuFivmz4lQGqsW5rxAvarNTeimNiU+oz29
07Hq3xUos3jb7Kpct4FfXuvSL/dxkw6fOdkXtUA2q48R5XnbDqAIfgmRiGcj5ExCSWMAhc5lvx4Y
/wB8wGe+dXBNsVWqJkQkFIoPn+aoRaeLaDs1tptzzmw8OuRjayZ/YOUvlRuMr2Af82jVdngHCHjE
YUiBNZ3Ii6ZKg1MWZ8PGygy9srkMEdkLDfeNtBnzvDrM3zBv+VtqohFiM6oTUb+LAGdVU/PLmx76
TTBTDzVAnqNepDHm84j9nyMTzpMzKkl3nw7plRDAD8dPv5G7w4QeT9ahpQVzp9T8qiDQLrsZihmS
SrtT2MzXcEVQy2/bjWn5Pqfbdm5uIyLIuaD+Vhi81J2FCL+hOSze+NSoIQL6pL7aIhyBmOhNCOwt
LfJgw+5Ku6598zV1U5keDbAgL1StHVX4QaXOVWrrCe7FuwABL6cbZK97jS108iIyikszmHLXmaWP
ylT4uLpl1q/yKilWlSkglFdUWp4Ks25XPuUNuyI3IDj4ucU5SbrlfeC2/SN1IJjKME7BLqstdcrK
BDwI3Y4uEj2gzyW/giJF5EYXqICP4VjY6FRl+TbO5kwtijbtHaMl/TmkYf+I8tpsp7Ey1iDf/B1d
P9FNZ8+mD4X3kOErYfvIuYFVSrve8k2WOJba6iKjVO8GU0RvZdVTwAQakh7UCA0mCg52mdUXL2Pg
AjcpaVZDl9Q0a5b6xWzhuHFXGeyGMhXERI+2m4/RTPoJiLeXfPFnbjkfrFKrZjI8NlavjR3Usg4R
WMt0zfm/gwoKK2ztMGpdt1ZQ3OEQMNxF4lX+hl5AwB6BCZ+B8gQb66ll4AsK5COsey4MPkNDhMkJ
HHHvm0dGFBWgEtDJfa8CKvoo4HNCMnSpXg6UEnz0DB03o92b73yH8ZbaOtzh+5kfjMGkS84PINWN
qq32dimNezOmm3phgii6z2PYNZgpyzVlRSX1DVhbVSiTVWI74lhE8jkfzIOFj+HHrKJka8ZN/Ej0
qHqcXdtYqhrqQVKwnBJQ9i44+c3vMdC7KxBy697yzXDBXxn9vC2F31Gh40elC2oQOeSKY5tSe01h
a/BMDVH/5GdBFqxUn/xkYclP8aDHZ9qBkVQTOBMbAR/qO1nFhtcQZ7uYsA+dwUl0EnPUXAYaRg9V
Wtv7OlI9HmcgMJVhRd+SWoVnVM+SLxCzFw2+/YgPuPsGo86eobMHOQy3mURdQ/HMLyjPrhlgot+m
DMmZyeDwkjlMBkeDXGRFi0Ow8CrdXSBM+IxT5nbalZzXjl7ee59aNGRu57RMLjaP6qWR6VTG0PIs
a+/63I/jnNvkDtQFDcQlpb6bJpXlLi51+q3rivatSekSWtsmwsGiamZEZg7n6TPuuWBlyQlYSWFQ
9UsjBRcbGRXmXRPDhzI8E7ANtB2qBVrSYraouQbG7QPbZLpp7Tm3+ZY0hD4nOdGzUJbPBjXZmLik
u2pqylnmpuxPmT9e/FD6PPxDpnY1L8GgWKIuv/ifjoe8ikF0nU0SDCeuQLSOMZIuaK4oWfkt4VQn
JAS2bIKow8cgGJiaJuc7/u/mJy1h43ogzXEWOKK43nPgORE5Gt7dOKRr0zXKliiLS3VqVToavGEc
99u8sTnsGvOkmmPl4KZpo+nKC2WEXrejwaWqsLds6tN29L1il9mGab8UYdh9UcCWc7VmclgeLKeg
KYuLgauPwZR41mIOBSCkfMpaveIkbRhn0/V6eRSTR03M6LqvqiCyXs/SvuazHUDxSpppUQxVj6mX
LtGKbzttjmvumfrcN7phKYD1Dq8rS4J4Q0FSveoraHguppF6PXXtZN0x3qNeFxA0QpWsaIZ3NdjZ
ERoAtYpB95zgtV2CPfZwKPjc0ww5fs11QJaMu7c+zFTW/XBFPWw6nJjucmKHRQTXg31X+MX8zSL8
/wW71Ls3Z9f44KU3byrUHWI1qKMDWyHLAJ8NIcWJzrL2BM9qOnUVhlbcXHO+GdzBvGMaFrGeD1hr
V4NNETIuy/qcQF44VbQg4mLtuC76upE/6MLLmK6zcH9rBIaotbT1EbCUpIaPkBWZcO2BQ24gfOa1
E74iKfG9GvIbCC2pHm/VLHdh60bZBo7tjxyUMAnFeOn0DuIJ88wtsaVDllG9jRHB5zwzG9EVqGJO
kcHYb2yzjo7U/IpzBqeFwUerWnICQ9ltpnLu91PRWOsalme/LqyKEHjqwY1h+3qJ8LfRPShjD9uF
Ft2hndPsHZQvWXBd9Tu+qtGxkUo81F1q4C/PejLGI1XpBq7cHpP8OE445Fy8aktnHOb7VAguBtyG
f1h0fdOLM0eU+42fnRg+286gjYL0PCxRsbcFBiZJM/3G0SyhMLXVS1tH0UEGdXCXwmn9HPA2J8CY
kunEZIudoeBgfQti+/CwHcEYtKXZdh5r45N+HUy6aGtfneXq7uftR4Dxgz8ZXMfYwXzhWYOZUSqX
cLUnaANq37QnZ1GLwV46IS8OPzVX8PnFbemfXmaz/pFApYPsL8f+PIb+wxD37n3PGuzyssJV0o+0
qgWZrY4DLsY9bpF+wbfjzeRvgRVmuLc6QT/bev004oeKJOXI0/xdKuZwYA8L583HOHQ2G99+7Xjp
B8k2vGC+2O/RuOhYLQv75QbQc4y4mWH0T+7JEKNecpYhF4qVc9WI+T6GAnsMPIqiwr6pP6Z8ZNxW
KGOLe3NYGiMYB7vRPcVTVNkT9aOGTRoCFCBH2mhRs1lprKBsyX1mjVuvnY1tZXbYYVsPV0SkrJqy
DaPcmE7r7ysfT9SClU481rLFZgGqNgCrKgnfGynUD9Fdi7CNH4TFXDAwOrp3PGXfhyH2nJTncPKm
KqL6o5p2fOIUaM+Wg+gqNU9sHByrIXjVhu2/YEfyALq29TKTs2A0W8C/Zu890BJl38tB0WDEceV1
EF56BHFRLDkc1GsLyxFR0AbrRxDo+1HLDGCAaUzrAEgKdyDuVxd/4lbsDHo4ttAAfkbtzAacAzG2
XWQ0EBvlc+G52VMUqflqGJH/gl5fcSVKwuJGNqKBUxKJWOYeXN8VTFL5Im/NIXadW490+gbcZxOs
kU5f78XcdZsaNv6y1W267JpsKGm451EJnFuXreYsibUVoz45JRNeZeaG8SqInYjj1gRtMQmanusv
tQuboNIc7bFXkfcgSzQvp66pi02X+OraC+ICOcd7HH2MRzTXLouursDVxiXJp/TUVFV4kE1B62+F
q11r17sbHepJdSbKDdTddOUOHXegjshSG6b1QzJWD11h289iDBdla31PKu89yPG4uZU3JjQ3QXzy
4rmgu6X1lv2U33sqdHcwVswrnWX2ktYveaAiPL9PuuypjAMLB/IQfzWEuh791nGeFPSFfcIRZG00
wyNtY9DVabW/6kKbO5W72WlkJ8X0Vq67KFVXgrARJuGi2HZ9622sgikzA137HtM+RcKA2CBTVuUC
MeRNSWhoZpQbWyiee5o3/a1yeIzSuP/qua18TNiy7doYlwr243J0Z5/+sRqXZV3sTavK101bZluq
x5kNhX4PeJzpwHqGxPrUK7WZ0WPtpuQzRutam1P30+kKmH94hM9S9S1eQKLgZBlYSUvmT1snNNWm
gpqOIay35Npyzw04nAX0BazwrdupDSxscFs90jJJhSY/SoyNc22sg7Q8AZRQb0XgfihpRFtljGIP
8IB/W0JXVGa7rDrvzpr7nVFzvyMJ6xzbhkIgDrxoB8W2itNLRVXdDxCimqWJ67Cli5Fx/jAdGYA9
Z4HDWMH0lwgPS4uq9kVE0HSPf+8YAeTkLjHmHzZOdOz17XeIa3dCcKtYRElVRZiqMS2j7VtsB4YL
SY4r0Owme9+aOpqAgqagmqdEyeLo4dPeNGbAmrggw8zzAbmBJJSigOV/u04Qaxy/l7BVj2QTnJVd
gTq01biJWHNXph9lAyBE9wcIBueRIkuqNKPYwnymDcvbgGnud/k01Q6zlio+uAbJ1q1dCPetHYQR
vYf8A76ebY0DDK7Qk+1gmiVfw7Qtm4Z1xve2XnKXXs9STkAhgppRBt0nl9BwwsemxrCWqKAKtuCz
9rfQdiRpqG1cK0HAHLSedkStkne8huyKPmxTTKGiSp8M6uiQHIF9BO9RErIQC9fGtQZtPjx6CfeT
ZZR5Qr8FQZpdgsh3bTBKkhT2pNBHEGjTu9zFMH4jjS51Q94CKya9RhH7oQcG47aeElfHHp5cUz1k
j6rH2AoJQtO9lVLsudBhiTHcSzz/rS5z9T5VlvuRwfuhditQJDcCzs0d9zrseWO+mWfwHrKZRL9L
XbZ7sJdMI5Jo4LYY1rhLpNG+Mihu16mlWyTM3j/4nssM3/AXjgMIMJzzk2dWGGXr5mynFk3V9Xts
ktlD5zq77O9RVZ5tIzp2aW88OoJkDra9Mrq4HEjueeLitxCSDTdioKldZN75k/ho3VHBFiXfA2k5
QV2aGkAy9NoUwfchGq5uM77SXDfC3gw5ZqSz3exHGFiRjAAylG11olgrWHotD3oBTgZLsXUz2Qh1
Ze8u2SEzpmTUhxS0jxTcVHvDwSWZz0PxOZNuX7aO3dEtGoO4je1F74fcmZzBxGXioUrRAKAfqQDr
nyNFRnNMbIbUuducUgwMZp7dd7ZBt+noi5WQMUOKrgrDV+4LhbnGldas/Mye90Nl998TkRLqar1p
PM49YA/Q7FnKwTdBFm6osDQKFbHkxfQvVdjVo2A3mVCBTa46FutPAYQlL93HBqAPBy3mp4lpII64
6RtwRkEtGysus9XxPqncdoU/f36dfG5txRIpi8kGOa/k7LXFq9bCvhBMo8W66+3pO2SzbKc4Hd87
Qe+9Ts0sGH4h63EkmkEKpFNg3o+5gfvV93kb8IMZVOt2UXi2GQ395G7KLWROwxOBlpJBBe8f76QR
+2IduiJ/5gqXECmh7nGylroQ5tEJ8CPH3ZA9F+BhWlXrjVvol74jatlV0TMC8rYW0t/laElrNbfd
0pwmYidu6zLjTg1wFUiKrCvJcw+OGsdIzc1k4EFb5J7ZfpVzcqobcK+Ebra+1VLWlFdrL9Ns2Qzy
l7NMmMDH9Rq377DqcNoQ+7PqaBNMBeiUCjcMuS43+WEpC2okoHi9K7h/vpplwGzVc5q9m1rNR5kx
j12NFg+IBrGfLIomGB5z2Ip4gkWf7bIwu5GkZv/Oj2VB17jXtVvFsC5YAvOd+b2IMZEkiC4xGJXe
V5wshjo5oJwgOVhFvhvbAJZta9KLvnAKPV/nMSl3GM80oVVKInYyM3PStZVCTsB2/ZqyKv6EFCVo
rBLWowefgjnxWCdHd3ZYwlx/eOgzZLOBXoc16wYe5cSquTI1lbNvLdDFS8/V2UlzjjkMU4gBX3U1
lQMx9CWCB3nFlx0GBOG7nrd8aVjqJetmEjRkY9aJN7RbLUXKsc7aez6klgVE/q3bcYJacCm1iEOQ
34hpCMFa3DTzpaw/ujQxPonDGcvWV8Zddjvx6tlKrvj1IL8HmMKrIk8f0nn2dnyV7IeAcdCLE1v+
WhKegu4/E1N3CVBYcwd6OKvGJfUOrFulld3hc3I4lg2cncOGvHHD5zNwltsoVumtZ2fo/lV7U8aa
UHzLGTccQlSgVZ0B0i0T27uC1EzuM1G5P0Xg+/QqzxWbR0bry0o5LnUc+la3HSu9YoZkr8gLUdEI
guOVchb3UfB8XuJa8ChFds/cYa6uFMl3eNVphmTn6VYpiywDqsHZm42ZMU3JpmQlM0KoSVFnW0XP
0rcmZK2rTBtBX5c42xaEH3nFt+zEQPeeQFmK/L5b0xjx08FH++YOMjlPVteskBOBzmJUXGDaprIP
POsS7o/HO5VXFMPb0zE2JFtOVA18Orpq5LuhjTdAbJ/R4Nv3bmA/8EAxrWeatCzyPn2IDVGoFdHD
283BiYvxFMxI19sbl0dtKxZPiivabtjxWDccH21GprqQhFTSJHr2G8L4t41oMFdVkBPfN3hnsQzM
wV05iHDn+kX70yIUazNzD327PzfEYvalOfpLWivJ2fQ6xT4T90l4iRgWPfJ0Jd+yshav2sJVTl4i
Wkck6zZhFc5njwTCsvFvIVCQW8jOuTBfcV32z9lsMZiSRcM4fBZyH7dWs8Q2Fn0G0SxXdUhDfeDN
02MTNPUdfajFht0iX8O+7w701xPdmCl7QX4Rv27J4FMIWB0Nws8rK8rzgztF8OYhKwCJTFBMZrLh
m47c3YlBS7+f48x4zwBTv9gdB23YYMWuM2KAXp4fb0cqrjai99a5NaoPA8z9PtFWKCAxafrhY5Hc
hbMeH3gic47UTvtWeUP6k+ZBZulEkB99uGJUXnHfqYGP0QGVG0TJyc2PNKFS0ewOTwRXgb4gbsiR
SHrfPYqx6E4OWD/3ZMpyONA3D0PINbQCIRwkuyaJUdDnzHwgdUQbr+EVYheIOF/XXo9HRdRM9Wj8
eQoB6J+g5nIQET5Dm9yCegAIfFNHHSKmnPPnuC2wkBhYqOauujcq49kvjU8ba+dTURvNlax9uDGq
MbmdaqthCXn+xTTa4TxRP/Rkj9lwNWBrrtL0ov+DuTPtjVxJs/NfmR9gXnCNIAHDgDOTuadSe0n1
hZBUKq7BnQySv95P9tz2dN/BYMaADfhbV9+SSksm443znvMcpNat7WbDG6zq7t6znOnNoNM3zDCi
nJwq9eErR8Mbj5U3kRfOZTZu84FW+Z2Tu/apLDpzV8SJuodYnq8jb8x/jWMEO07b5rpVY8pVxeTp
gMFqz90whbxU2z05Vel6RCi7ZgdvcnlXcQPVmHCB/aUcg3msqykvLZiTT1nqxZuSXPG+IWm/6QR1
XnE92OvGvVkjysHn0RTXB1ULdJ8bsN2Rw7EmDUtLrGW9eUFR8azlq1KgLZT1gNiansDSO5Sx9hmf
VU7biuAu/U+Fc1/LpgtVALDRSEr/NICLWmXlb41eIybOjCKikZYxOrhVc7gNCfeE0s8uK/eNQDUW
fvzuJ8kvXErfPmrrOmaLnUbWdpK39pFOZLu6oaBYQPIn8borU8juitBonc/UCKnxHLfxWcvqdRp4
7BDu2EwFiyHDmqHHx0nIW3Y9WO5mTKVFjL2motna4xiiz3BMQMeVxdrTkOQ8tkL9Sk8ssnzaP6k5
J3FmG/vFbI6F4+6p3Ty7Der3DGPoEanL3Xf+lG3dPsaPXC8pl8lhyH4CSGi3hoyziy/T/Mlm//Xs
ldwYqyVFCleVtftvS2UyN7K6B5XXxx+k+dwLV2CTrt4YYHiXdi9/M+f93ybq7L6ruw/13f332yf+
gjXfpgAu/sc//7H71z/j5NzAovmnP4R/S3E8DN/t/PjdDQUfyif682/+V//jv3z/V7IglsAZihUP
m+F/nAZ5/i4+yvij/Asv539/5J8IY+sPx4bz92+RkL8nQqT8w8ZYDBYn4H5K6gOn4Z+JECv4g4ib
DALicrYPSgSz4J+JEIoRwQNSfYqP2MeXjgn77z+HP5MS/Aj/9efy55//kSPMZ/yr7dDDcShsBFs3
uLlh/0LNSXM/7RziGuD6+kfB2bZXBDZJYnvDNjCU/s58aAcGZazk39S8llPRbcdEOHv0DwcxKCvN
cIThlLGL194D9tl+ay1ReWDnp2Dy5tOdjGJxcUCnHyC2Vdvej7xfrR1VW6KHmeRT1v1nR0iLTa2J
oLpqp1S8wWdNXvu67C5N1QJFHWxOSlZEpn+S0+Jzimg4JViuSFXT4sV1M9ZkgwfXIFNXagx/SwsO
zD+BXxzfBAvdNacsyhU/Dqx/MNPdfcsCaosGU5MBaN32AEA2eymVdClMbYSmNb2YeLQYVBjSNc7F
6JpPrsvEgV0Hq5IReJfbfq7cTab0XsrWHN8D019g3EvUsTrIomezT5Fd4aswFaX0mNzdthzVCt0E
cEifOOmVouDxtS2xfIbcmMmYQgpejXq+s2ZrZFzs9FdlKvXTINLODaPouitWbyPZ6JLaJugB3mtk
4gzsHcd4TnJpvhkVo/1KwCk4zM2oQZPELP/xFvy6GYLlOhbT7QsvnG2d87UPCfjeyqfmYLCrs4mL
BIfCVJSfYqgRaBMk1xVkQZsvkjpXBGvgqzl2uKutAm7juZxnuDu3YYZanJ5LrKDFmpVKuZrx4rlJ
5LPO1cdKdmbIlYRWMfwUj8OUsjHCqWHdqPikKhAXI3rEFv0RY0846lnqCy+oIYt4jgO2EWp0w7iQ
cpO0wWacOpAbpjVucB2LvTRU+kqADiveZDQny4DVaBhSrZU/NVcZ+PGuUtUMIxtZLAlyM8RzHu/B
jXChc1H/bAMXDjki8yebo+WI8hndw/XPLnPGC7WttPzs83La4nvrDnllA6Iv/eem0WvECizJ2ZDc
A0QhGBm09UvtwC3DWel+pOSkTyn1FWsivtVWQAR0GLx+mGb9rojYr1hAjCt+Ta94dOjYQY2mHUIG
XvqkJr1vp+y+ti382d5R1NtYLjAkyuImrOKOpbVnQMC+CUVwEJHt6y5On3kfyEtnKfEY5J7gutVP
2bFA3XnrpOk/u31W5ZsKHzKkF0Xgf1VPN18qZx+wm8Zs9jmvqTuTHx8DX9+DYeKqelABIuVKVcJ9
LUm433nKd/ZW2wCWnRWHVCR1+pt1Ur1tyb33uFaj7tMsFEgEfAEBgWOLRCM9b/z6ueXCpPHEfJ+4
afIAhFPQFB+ZFvcfP76vpyaGNAvn+XFC+6rXegZYTn5ufK/TrL5LU/Zvs1l6d3nsAC/VzrjwmUh0
F+NgPQZ2I/f+0kATIKM8PvvBZL8MSuq90NP8GRSpep57dlB7mx71T17f6e9EcKNa0TTd+MCz7OTD
igpcug2ggBKrq5TXjEqXcDaVTeaUyE2zzXHL7TRXeXRe1PJdPeTlNckz53lUNs7x1rOfYA4459Zo
bL5IAj33SUoTw8YWDe6jFml0N5hDfF10ZrE0j2ku12l/5mqvvjJewvxWI8d+7aquPxd557CRXZq9
j/+RQrfCvytLxcW1aGngg/0SmScR1cyxjY5PnjVmZ5hFOLxJIeCkaw3LeoZPpblgicIIef/KOwYE
9eC3sfno2hOd5bUlnOSILitf4kKZDpaCuf3SS7WsTQUlQJILa5CIqRgZ/GN2A2RgkqlYDaDesjA2
qnxH3p6ZLU9JVznE8PY6KO/MrMVcYRmesakdEAlJ0Fv7CaGVFDhioccbN+xM9hA0N+CV0Uv51I1Q
B6hYh0qcBlcKY+MLEAr/i9VsetFxlG8twEzHpu2x5gtlU5uDppwvTX4ZRw9vahmxY1CePEHC5Xdo
x+IcBU0OPT3jOi678lTOFKEgQg06ZIX/SZlFFRaW0e4dTFo/2HZthT/8yERR73jrc/GDApA0drIx
snz85Vbpd9bVMhQdwz8NKfQVVlDmKd44pobb4BP2XLrU0yuhIbnxImE8AP2RexAG5SE2oqMZtwhb
LDHMsC+M+W2ubwjxCIjIgx25DoJubNRh69obGJzP2G6mreJOvK2S+q0wZ/uAPw94U5t+3rDPBYt1
m56mOhjyDbV3MLBBVk/bHrTVozW62QV7br3187q/a237RDrl5zDVe8Z4VDF6tFYgdoe1micLwqh9
ttweBkbF9YgKvJZuEFTZCloC12G4ZxAIuBUsM5Af7xaeT0z+J8lEtaN58AhbBC0o8mZc3ksCGhCB
sZ/VKq00poi2+FBzoY4CXv+7U9RdsAZxk15wl467MrEaBEyHm1PTF+1uabQPRJVoH1vwaTipJM4V
15g23nQzPIdlMJxvRYFJevNseXno1tiGO9OIi3WtB3J5cKY4B1K7Q/5FTSjZ1ZKK+SqrbrhK0etr
micdTAV6oiSkvFVA38wa3fJSVf6Vb4vCqtibs2enMxs6SgN669ZWpKfXKEp+Bbzc3xcPvJ7uL17i
D9u8azLgXlHziLUhRY3zlLNuaWXgm0IFM8lrPIADX96NuIGoJosJt2cb6JVZUN0DampeO0GrLxL5
5LOzcxy4/MOrGGgLYpFDiSJGM1wkdftSyRHoiCjCopOAzFo13NdZFL+iu9Q7RRXZbzKexZse3Xpr
y4VooV+ARyNHHrd7XQbYk8e6rWmfK8GYeK5b3nMG6B2m1fHO90A2ccFwX1PWx8epM6ZjQ5XAxmka
81ArD2pdLb0z8PYKdd5Ob8oDPysPBPcX8Spzj8rdbRxvASeloGptWH3scsS0pc9fZpETv6CDW+K6
oNkI0be7FasiW/tTiZThqyEcdPvtuJp5ruKlmE8itAGCUhVJorfXauMKYyPs+cFwGjBXlXYPeT17
+1RF1YfH8wz0BSOFh5WH+u7S3NZ9WnHC2D3mBN9/ELh/zjGS2lbRcXAp4XqvoA5SP1SU9NWwiaUI
w76Lx+Fk2/Nvy6JABuZ+ZGK3dgULsKIL3cXjumgzat3RCexuy1g3px6y385ACTc7zakC6mB87qO2
f0HFKNZTOo1bbU135g1UIIOOXRLWB6j/xEU6HTukgjECzG4dbB0eZcnacaZ3Pmg8p0BPPrmhgz4k
nrB1k7g8o984P/h5YxtxxYBToK5TuaXvzA292DT22L6TIzsg+VCPnOURZSAnfGb51fZkcTfjIXgg
/OCflVnm55GGDHuV1Ll3zzsUUiICaHvmHqIeytj2vhcTjLuL5eLqTLZ15w22OBLy9L7pggvYu9KL
R9tD+uS0TXPyTAERBKpd+o7W1l94bBaHBub3pmvkFzCrYC9L2GIxisdd71r+O7sahPGsLAG1c9Az
FzlZfannhoV3CxnnUKkYt0Pi1TNPD3ZO8TKVW/q+h33QSnEwPDk/0unbLdi4h2OVymhTGkF5RGaZ
X7XTlddJJW+VkNG9GdU5JDi/2WMmTmHTODtWjDmk56zZylRYIcUIANoTq7prZcZJV0dxWDM3UVzL
w3kIRIq5IPd+mFxl+DH76toMPPCYH6u3hIqFn0FZ5EfqjHkBt5179q2+lquF7DZhLO7GD7FNWYIa
xBDa9TJ9RXOR40fi3IsoOdsQuMRbJDnHJ1YXp0o2L6If4x++ETFlKuoJBwaito0PC/d6KklYAavi
gwaJ8Z4TFYinw8i7Mb2hW7Ht3WA2we2f3qw2tf5KU4JEeVCrY9YSGh6zcTw4nmUd5TQUod1RTDap
PNrrxF8HJnpYTfzqIItfGnbar9jH3JcBFvEZYTGW6aL9mg0STQWwOVymaZFvbV3h/mCDHsIxqbbl
ovnxudq9wrqjqwKr7b0eyhJdqKo/TV4wlNVb4yHDCA1uKKOYzuoYJ5rA2Pdy7i8qMGlHi9P5KYrS
jnkhKz5yK1j4VqjBIVSSfHEZsw/EHa0NewQXcEnfvNDDqx/zcZF4kkvHeodDiPsRSvS2Sc16Dx6J
rHcaFLCjlklx6el96771Vb+ORmCJfl7RIhwE+davZ5wrAV3vGJubMV3XHb8v9MT8bS4nzStLi11F
SQEdD8PFMZK1aDhSKnyVYhAVHmr/N2E6KAjBeSphUGIDozqUMEyQAoWX2jwCtDND3GPfjZ72sCGf
ffLya2GN6T0V5rQNFOWMMCTj7ey2DY70qj+wjenfG7MaP5bRasMAgs+r4dnBmahu9GUwMxUA/0pg
7a3HalLELq0AI079pajPgp7Rd+lHA7OR5x0IOTW7wTEI40CkNegWsullDmBItQT+DaoI2CyC28Rk
urPp22RxUDUpo37lb6M2879MAtNEwwg+o9NG8ieimpArA0HqtWZECutgDu56vRRvzTSmuzmJ0r2w
nelDlAnpNC8vIfEPM3YFt1weYsMYj7m3TA9G10HLZ68DtiuQdhjlcjksKBWPgQraj3iOaMdtdf1W
c77dlijOgTp1dVua0QXQ2yar6R5Q5NBbFO5FTfXQez2kwaEa229zicdng5WpXMEv7S4CY0moBwx9
LOJt/52KomYnO/t3CnH06OJeB6E4p869H1vmWhdO+sqDo1+3Zjckm9rwhsskFwzmkW1vjXlWb4OX
M7kusrgvebuj+RcVbsvRuytaoHarpVtmwhGlVizJ7O4+B9xzZbjObvEhLEptZvOoIZg1PsZVg+TL
VqY41EL5u9xa2qesZoal2DxXe2UH7ibgFnPGN4i8W5TdizAN/Lc33M9MWufVzagUitrI8dntjdlB
l1gwvU4vR8V4dmSnpd/GxRmfA6bQh8HWnCYY7F+VPaXHYLSyz1gOnEWRXu6wVtTOKq/N+Ny6mXUp
O0yWiQW6wMsK72DW44QDl4qOilWs8D5w9Sb1za1mfihh5eSI5TL9ABMi0VrgtyM89K7ZhLeo6MlY
Oty3FUU1K9qZli1Z0vrCOV6/J1NUv46SDPdSu1wMfFYTM53rV8cndy9kLo8+y3koCSO1DIat7mgb
YcTKesL8lPSk4xtyvth4ZpZcI8LLu5YFH10SOhfvLJep7e1Mc9XXfnHCCsXUmWaSIsvBbULZRGzy
OhHzq/U/ULZ5gmXGbkG0IpLCHZzvg3YIDDWj7axF5PN0Bc2ed+Dl0B4sxW/JgnC1aY1CvTgFCnCV
dwO17ksvPg3qmjcT6LN4E+SCoBuMBNWjWbHGWWMJW/NdM94agtZZ+kwvKeu7tWdP5dqbyNSt/p8o
u5f0qyWS/7v/Zy33/09p1xNInP+xqvs/y19J+/Ev9+3Hr+8u+UfUDxItH/mnquv+gYEkIFLhgS4H
EAGw4E8SuuC/wEEXBNV9WEAe0u2/qbqWAEbCOCXZ/6PE/l3Ttf/gIYemy6eDnGMG/yeS7r+rIrj9
ExbRdbDqINHpsULx/Qe4DIQfY7SGrN+2Q6y7pwTy8fMiDUZarwrE1WWXD+LOqpoty8hq65p9hnU+
9v6TSLvN5fIv2jJfBqm0QDoeNBfoEX8BAZneKKAnBnZYWV33mvtUMEQiiA5jrGw8dynnIHRenC4r
JvZpXTPG+QT+SFtP3p7/K90aOFBp1EnUT4+29VXJtAHPGs1qo4Ct3pv9HB0Wu0Ms4tZ2lxBIxZ1N
vUfoNob9kHQtkQ46bw7ASNq1gdLLiRsXZNVaplDE+Tks44A3sDlQUGBD4qNqFQsYmjcZAjKF9DrZ
2HAz/j7F4xReHdpITB+c8jYVBe6dSh1j74vbdLjgR/kwPbO4eDCZIZA1xYDpxmxOk+jXKdaZT8fp
l18WaWwerWawq2aH1WSuu3vGJYiYGYU2kAB19dlLvzsw3bXXxO2to1lZ9kbcLpeEKPv7WDiwyUp7
RsRxjgU5A6RURlEoj9wwCEatMrpcMRBY4s0aIpbuwrRfEo13eeCycGBfHmFBdmziCrGx5a+YGPYp
q6500u470CPn2HD0YUQOwytcbMs5Zqx1m+E09wYpbLKDYc3uN5RDY9P5ylzFwxkgSdS7c4iu1z97
DSWBQXpjBsWEVIpSe29476OQ+vA2dFqTtlPKmfjWmvslnzHzC0NfYkUedtCT8UPrZtxmXhvtbZfs
X1vZadhUlOc6Szv+alRGdkjl5YOLCglqUhjDRdeqPaaxg9gg7G03YQlKUMtK4+Q3CWD8yaCJx5RX
wlpU1Zk5vvrFRKlWpQ3eAPaI5Hjf5c7cUwUnqOtO5huF2NjACYXPlKmwYykL41TQvUQTmRy6cqO5
W+4dwkSbum+buzrP+zfyRj17NpyaSxxDNy0N41MuDdf3sZzvlEecONC3dQAvq61LO2RYOx2kUVwS
v+KWRL2GMvpjsQ37tmkc5wtizq3vqbIezMmx7gc1TlezNha2t+O00QtAPVI/1/SWKEjUsOzquO8f
isITu6JwlwcubFnYLEa6Vs5tEBVLeo9Bg0scbsmQ1ltYKBiaSQVSfeMlDUG90rQ5avp6z0hQvxa0
w/HbxO3DjSYJy0D9dnQSh5YO1DN9BxA251ZipuCzD0kj9iPQ//MECupA16O/K7k80jg+A1WpQAWu
4WwHAJJMH+d+VG9aVNw9CqEf5kCSp530sH4DIWi97eB4I3cmIXivdajERj2hcZVqVvuMBfFxTrCz
DM4krmlnOI8jArxZdndTvdBBPlY3UoUL9ASQ3sYdhXWJ/eQa8JAJof5czUHhetEE0MwS+7zlpF8Y
aZLfKgbUHwDNWHO9iEAWavMKdLR5i3nq752hEMd2HGsUAxf7Qzl6rGQlaEq+7HUzeNFjXLrOh137
6RF909v3ehi+WvTpR57MPov2qv1pNyhkFqL3OkC+TNY1oWTWMG4s8oPveuuJFz/7bDkM885bSPds
kjhToGhruIhRAjHRI6FWE3o2NZ0O0KYug6brOWmNbMtWxVkn8F3RrqMY7HLZShiajemQMhpGp8f9
qQVb6+jVgTx1dVWKxGt7QYUFPSn4PXMl6b13ZfnDg2FXLC1ss2tfO9JJ6xzz3VX0ILs5/OBMOMm8
5Zk270DNl6xtVPJeW+U4rv0YF4FKbtXCk8MFaql1ic0LU61zvkkMR+m6kRs6dfA9s4KPISuVDYN3
Xx79ovPe3DS4sRsqxU2ud7hW+VLsSgwCyyognvE7pRWrpgSi7X/Lzr+h1pf+TZG63deiupaJ8aOZ
dEdAkb0C61bslGWqFjz2Foy4WXADI97ovhcyF+zOk7h6c1VbHIJs5h8wNQV5GsfFrBR5WTvSxcbA
mAgRhz6IeyvRYFTox4I9LbJ5DM61iqz8G4t8NzxamXKfcHs4yK+1UX90vBU+osguXyv2MJcm5rqz
iioO6NAijMG7d9Evdea2BodU5L7G4/iWk1s4zT4pDzLlQIsF+0gMTyxQ1mbqaEbL2+s/rlvKCdgF
wewpkTandBa/rdn2HjkKO/+gZVZkD33XURxJsvdpaBtGAoumkY1DPM67w6va/I5ZU5gAn6X4UZIc
/ppBPh3YKnm7GWTgCdSO/x0oVsiryDazveFbZM8zdyJMR9jqyU48cSlv5L08L+RutLAXu53RiEeY
fM07NVjNo8vT+okMULPP6Hbcxh1yEuvHxBdEEPyJ62jk7DEtxqHEgrvVbiSBeGr5yv6x8K8d0f/s
OOaPRjD6VKNkiAxuTp87zn3WSgG2sx9V0Kbv2svoRW3rFL+eKuLeCdNq8H4KspLllXL0rAr7tAT8
DKyEJSByP6ZANvQPFvIsj1sDM6P29FvR1taLY2jnibCqOgZW5225qFbXCMzbS0kNJnAQyv9WYuRT
MGvpbOOUcPGLCVNsU9n9yZIu2kngGw/ebFNSQtJ+XbJM+ZYp3RL+SKB5bcfR+NJOFmCHHKWMAoSS
hfmcK7sP4TPirV6SkTqUWAGGySw9IO3Hhwgt+zORBKYrvMM/YiKhF6DIao3ZA+ekovKWrKS9XkbO
T8XKxgCLcMDjtlyH/hasoGCePI6pDGYxfzdNGTjIkptJ161BEvbTCYqI4QKV1gObFUqM9ZHVeHJk
nKk2s21lyTNjg3h2ufFOax/BVO+CTFr3eVNg74Ztt8oXPEzUlzjtIx+19bKZ9c5wY00pr9yIwpQn
HXdzmFSwAjdl13ZvNf3CWHi8GY+d3W+jHHqxR6nwtmwwKVaWLHZRtcTXkczDtnd5jbpJ65+FcaPs
xbDk8VjV7ndiHqa2fBPm8BF5koB7frTlWztqx14XI0gfl86UT+ZLrAiWVxPpJuTPvmdu7ouWWL2T
RwV7IgCFd1B1xbKbzQF9tsuDnW/k2SbObzHVyHP3Ga63HUAEf8OVd2zuKlS9te8NsLYHohMTG835
HiXOJg5L0+lFoLzcJ15isFCny+aUkrJ9HoeICERhmjuSL8Uh67yMkFfidCHu0fl7xEfLyr4ilOr3
wU3P9LJ0E2SddEDhOILtqIXQF1bKB8E4lehiEW7ilqN2vFnD/Y5+gCytdYd9VMF1ntDJl6qtt4Jg
ybmUg3mXYeQFrzzkr1OVOPYR8zotohoa9D7Ac4rBgqLCG+YP5dK6AXTpilsLUgx7oAjW59DFzr2r
b5XsbTebTzxt0IaWBKETbD0do20fhWqMEHPiANKMv3VkXoQMPfUuBhN+1p7XgX+haI5+zb5DpeqN
o5/B7XfoHIb2AJobN1rxPZQypmPR9zj9AV2v2snl9jDM0bwh5FJeJOYFkpqj+YoxPLjngCOpamoa
lTFtkx2zhy23fV4TUxX9hu5fhLnlyOsE7pcBWg43Qom0eIrWxqshiJDf1tjgVYK6NHf4elmeYqB/
BPUEv3nqbeeujcxgnQbL9IHiET3MPMV3dmyAq2K7sYLCX6zZE3y3Li0YIjYx1Xv4c4UXRwydi0XG
RCMFMRSk2jk5/IbCDBEBRw0FiLUt3VBw0EDiaLJQpZG8zEmRvFpDe9fYot92edXtAGjS+d1xuTnf
4psnkbeSB4ldDPuKO8YmIJVyAB8xP7gToQG3KCH5FC/CVt+QRq/96CN0WUnOtjs3odSX+mCkPicT
/I1KYgIQVr9ci6ZR9G62wxUbEHVRTAHnZMmTPSY7fZTWZ46Hv+97FwRQvjbjad47hptwlyLmMyez
2locSPFqjG/oHvqM9yJl0UbYiiXjYUo9qgPFuaWRN19ScYllbJ1gE1ABAowO03vt1ZvCGg1GRgXe
uokt1Dr9TPyDIbqMq7W4OQXMJk83wCzyh3hmoo1a4kd+P7gPrqX844ggFfYWjl9p/E0ES7PTMEv2
Lk7V0pHQgxnjZeitJcnj0KA+GfzFtI8KIXZ4c44kTwnda7aZyc6UI6/pea1Lj5Qi0IJjpKxs3drZ
dGqpjN+w4sIWsVTVcLCksrYZuS3ACAQ71yqnp4Lm9b2bNvvGZIZY3NFHxxFEHUVWHCK0zW00jvyq
I0BYcGtmI6w6iNxJ3ARvple7O/ba1g84BO46aOLiWE/LsLEMK74UZD5DTwcjFvXM/uk7vvMDn2b9
yAScHQhOja95Gd3wA7XBZnjwHm9rc56VHnBWYinJuQWOc0lUA4icoe0LNhZXaKum8gKc9S8HeBWe
qP48NdkJfpy3mc3o05w4+5yZ+oCcSqjUeG6ywTjZ80j/jqYSw5gLeZjsIbhQ5RA8+VHWb8q4ycAc
MMCOsnTCzrH8Dcn8s5mUUKogpgmYBYnjcos01WM2TjlzQtl+WILyHGU40drlin/oHHs/5YtxNB2q
umkJ6u9ubuUj0vyjRw2L5yNI2m57V9k/GnO6DNh/Fky8di/e84SiTm2CAUimJz/ItrGhKERr91GO
U6NE52Mjf7PtqvZHGwdvSpH9p825RdhYFy0VQrFfJo/ZNKg9CRQe7Nopz26ubV7HMB4CPz/5XqIA
9brLCTKFEUrPL/Yq93funFdUXSTFPjLL9KD7It454/B06xJfYbvD5A4WfbOMRsOigTH8YHpcrhak
8i/HzqozHHQcDNQxiA3+I9qF2feRMHE2Xl+YuzhQEUE/GZ1uYLvQIGyOyZmbPgyeTJ7TmLCIP8kN
9Kbx0BY5a3x5sIbkZGGnWBzVhLWVei81rXpn05XOS5oRGV61LDBCz545GHOK48Qqp1JhWPvZ4G0X
sB2vhg6Kje9wRVkEtDm1BPUpqczxqZbqPvfMVTbT6eSPuCns7Nir5rucvPai8tmgdccHnsAD/mjW
BIsJDG6RmOpD5pOVa1jjbey8nS+LjfFLSNv8cvj+sP0P6O+ynNy3wfBZjGS+fz9RgrWNzNECz0t8
Py5w/zeTucUYvB5wy/DMq94cCnEexwiv+8qegvlBQWm08bGJdttT9bfTaXkDzpj86MmnYUHQQagJ
4xJZJs1D8M/diFpo4mCRf2Yfc4nhLEyL9e06Lr1SizwGwdNk5ps0ce7ntDioPv2k/O17jqkjWpl1
xSBuN1gE6Vto9p2FR4xj01hrryAxZhtmSMOSZjU2WtyyjXTPybXPLW9vyY7cwrhhhXmzZqg9aWbe
UFKFnLbfQtOpWbLw6eSy9wzr5JExWTFrbZtxfEfUx5Y1OU5+aDgOnlrLnO+cKHkfHHtZt5Xx6qSB
d1XZ1H8YngPPlqB6mTO2SC4QB9btGoR/YjxROHSpHHg4GclrWdXijNUJTq5nv/EAj1fCbLxXh9Aj
/m0BSn+2XpUUIK6FT9FIm2yZodct9su56r8Hs7NZRE54sSVMCpApuLqV+J1LojgJDjQw1IlWz41I
GS89Eta4ClYNB/hWRVQHA59gP/Zm1PCS/dnIw1RHJoYcaFxPXLK7beFiMonYOwVWf6/bglHPSZP7
pHNesiq4eVvJU1mFybxooRhJy6YToEu3U5Om+PbtAinPcu8mclAbHx84S+aMjnlI5zbWRtFWFZYB
azy6+ZlSh1Ot05S3Y/k0ZGoFCOEYBR3sim64E0swtZtuGECsVJZ6jptqeiNxf8yWDuwWF46Vqqc9
5ORp19fU1IfFNFeHtCeba+SCNIaV2PscnMF9s4zxzzi3WjKezgdX/meHMmJ9j5trsJpfEp3rmWqZ
6kDkOTokKEMhRYJnQ7BVoS9r2RJI8feuXWTcTYZrzGpwNQxV/epY2bLPM1IKEDN9J7RqaqDLfmw3
TT3XZ1uimHFtiLbsbsTTkuh0HZnLdKmoY0LLxON2ECIbWHNM6aYMpjNuTApMdDbxizLjXW1HaSht
OQcrsqzpC04H947XGRbR+Uw9YHfOIqCbRNJRvQ5LRlKZj+3eus41DsAv07ByTIyn5iK/YKYAjg5I
O0bZE3SJZCfBz+zaoM5fjRLlu6GlhNogvq4UfFlOK9MGegR5Xc555uTRQHyFJmYX9aMwqZxYmBPm
RboAPYymPGAQBoaq9btXjZiIeIofBAilS0HJ1Sa+mSboashJ8SHfMC3ryfHPMq5vRT8Sk8yGuF2+
oTxt3CRlgkLVeL8kUteqY79IkUg2PUA9bawNFheuw6bUKKnTFmpP/IMUY36mVrA8lo6Y6rBLM5J6
RtTR4xTRT7LT0LN+tpnuMak53rZi0mSgyoeNAoWxSRezzSC6koDguYBZmDi0HOPzKOYTjVnGa4T1
YMUCcWSjfrMIsgbGLWj/zTlYVArzQcdIJm/GQuJyuJNljNuQEBHOw2kWeAhvdsQo7rCN3iyKpo2D
kbu8/cpO3TtYvWh+dwmGRljv3VnfTI7/i7ozWY4cSZP0q7T0uZECGAzboS++O52k07mTFwjJiABg
2BfD9vT9gZlVnZNS0yN16BGpezBIOgFb9Ff9tDBs8wIYLjpTFWXv67hRe3hCHICsxRgZfXskaRJ2
rs2+2zQc/mwrwEGpUCmuqY4RD3oxWGaTEI8s/MVZ41rc999OzMVHsBff/szx26sJJoxQUFxXbH1k
VSZZYwZ0aup4YHPi8/Rd1gv6rIb0SVj+jQ5wSXnTUNypuoSBOsqfIcURn6ZtlTHQHzv8ES7+UY4h
bypwmIWnuPV0+ygC0uD9InjhYD5081TtUs7Op3E0eVwdhC/fLfoDLSTFB+0iGFQrqdZVFOKeLymo
jRb7akRH252pewxGZtYxt8cEtptTgVfAlAh0ruZKQQ64XFywPsyPdVWP3r6Lu6d+wiJriuYlsWos
mkle7FPhuLfz4qKdMDe/y8in6tDEp7u3HS3rtZZ2vKocLjZR+BjHQXAk6s5xR5cYrvWJ5JZiwcM7
PAnvV8LxfzG+dpv028PLll2t+8XYa317fJk+j/CiwOO7c3invfnOjdzgEntksqzFFVx24quIfR5G
XFU342IZpiXRJnA9GR/YEqJtWAbvGEP9g1vFcCwdX64nwmQsHt/O4xD/ydgLC+O15GosrkgMFE9q
8SoLi8ePZC9cjtE3DlzswAY12aVLmPHjMzV3Xt1dWxzUWx+PoT2jSm57bAJHSL3GbT+NASKGfIyZ
qW+KNGe80qTYVGFLkDtQSPgNv3xWrTvLPhtzbV5bMKFhRDjqyvIJpVlpGqAMuempK8Z7SzS8nE0B
RoW88pUIg4dp7OQpLooHk5doZTrDroEuvx277LHM1O3UAYGAWgkJXMCMWc0pVcprR8/mAbJftxOc
cFgLv73h3bdPfADDdQrIZi9AXNzl5TQwHbZcFmRrcaBPgeH+KLF4bYwyDuBVNmBkaTI6ljyGm8mv
iGFRjltBBcHk3sVteNcsxveJuvYbP+iydVqpJydyLy7E152WwQeckVM2Rtc+avdeOnTgNJN9CTgX
nZKYks4aUFnePE9avTp9idDaUrdYl/g/0gsI2XgzM2B5aGj/XIvFn2+bZXOqF89+H7nxsyOUC4xr
4EizePu7xt8Q9PY2dVxhiF8SAHkXQIK5jEsygAiBulJLWiAfQzAnmVdx7O4atBft8AZEhXNtfYcN
akme3Qe5FPXS34xEEqzvcIJ05mTvT4wEdcJpYaW+cww5lUdr05EmkqMLr6DOiTx4fi6eASQQhPCW
TIS/pCOs76BEtWQm+E/VFWHTJyAYewRCsStZ326C77SF0Y/G10xD6pb9cLgkw9wfI5A+C1SwM1+d
pDEeuffb1zOP8vO4hDpGNPaYlqO4PbMukPqIQEa/u2PQf8Vex70O0SDoGQqluGNO7Xd2JE6kfnZw
TJ/772zJlPJHYMYEjpiApaKi8juJktGl9JhZbnuMx5KkSr6EVgbTc550bMXFPsMnelMQSC1QMpes
C6O37Bw5SwLG/k7DzBFBbj6ShJQMjuPkSWdDc2QcxTGu0CLZcaOWpGZzUjZYu0jceDhz18ESw1Fe
8RWTKQTTQnuRXrI6dVKqjVmLr4wDHwO3GcFqZWDQPLZL1qf/PfbzewRoSQNNbhlzpDSd10KlvEuk
gggOGbbbftrYlbx1uySLKt07PxQH8t3cS/foLwkkpqzjLRgS4ng9M+FmSSpVSeZc9Hd8KfYW8EHt
8dfTS77JMMKG+VMMA9Zn7IPSVaw4KvY/+XT0rlhSUt6SlwLdd+9+my+y0KKweXFkqMWb0S0uDZS1
eAe+fT3PQLvW/redI/y2dkzfNg/PHeONB1T9kw63rocdiyOkXbwhYnGJiMUvQhrHPlOui4kEIhyG
kgFriY3FRPewOOnWIZWz+E+YKO7rxZFC8PejIN0PUQe3Cg9+vZ2NQB9h+Yoz0cSPoEXRWyWcaVd6
6N8wTWvcslENdmS+03FP9LfKgxVVX5r4g5jWbpfP8BVfsUqmLX5kW0CvSDwqdXVtPUWgtkErNvuA
9rLnogcTN0YlPZmKTPk4Wt4qzBogjw63Dm9uDtwCcbGAn7jHjspar933MeziaasKvwZc2zc3ih72
7YgEdi/hEGTEPh35yLBpht5JB/JQDMkOYNT4FnbWz2xGdEgpWTwXTZM/Y8ZkRUxJ9pKxSy56COx9
77gg6JqgxsTLFMWd12oOg1OCLMmtg8LJx1gTgYMTk+dYyaGLrHNhJie62TkSRPTsbSKbPdmhzjuc
7fFhnFLrkDi631PpxgUNNyQTxOMksUPzsHjbZaf2uHiQ5smLdYUhgIBFbZIlrRYAZDuhpvTgfbAh
b1Qy9Fs6rx+5mXFK6WSz98vKvlFU+u1wyy8GVfHO/C08cRABwMJpcp3XXGgoOHRPDj7dda9UtgW+
0d9AtHRePGPe5pE50B5u4xrsOu+QVlVzqmYr2aW6Ne/jQfR7hgzInF01VGg3U1Xvu2IIH+J+dG+R
K/lVFENBWuLB+PA83vGpSs4HcqogzxKKZbpWjMRPIf2u4woMZDGP3q+JSEq2Z/rCHZCp20jRTgBm
VM48PWipj9Es9dnW1Z2xYCRQ827qsXOPMvMUsQUMeKB+IsS42nRm/kHTwySqrHQdUHZEZwxQtcFl
pOKVtv6RYR2AjJKFBzvK+H5lW4m9xUHhJM3xkOVT95H22Hi2QW9g8YucInnm7/s+iVrtR0QEti7m
6qsot7i2jdQmqvbVlCreE06C1jJYMTgRiUyHuMP8ztxISSp6Ndsam2DqMlLE4H2aZpj5fl3ot26y
pzs1sT9C8SBnHnMxaOzy5BUO5uXKhZW6YmbO+b+e4uS+q/0auVi1NmAQhICuNO+YNeySgec3d6Yn
CwDVj5mA22OLy/kHE7jg2tHWVaKVTWcQNkPUIsA3BWuhBRSGJthXg4HsubTqhixkYfFUWBiAU7t6
HwIFOHUMe3zexCyRgjkzfKGBcvMQtX2OaN/A4DzC2fULWPV4z49YEwMsy6M0T1Ge8Gor+rB7w6lJ
5RpvdEc37wFkPBdWWA8fFbf0Yih21FeIWMk1QQ6Aj3DXH/DsAHsrdf2CMPSWxPPnMAYZ27jbPNki
zo5J7RBEYTtNXi3uny/dBP6VVcicDkPDOZ27Bpw/ZS4VBdxZNlGQQEpKx+LiT/kMW853z1R2ehiq
s+FAQ/SCKbJ9EqlQvnHnV5DeYDKoEGTm0BmkJyHLLxecFFliN3vNhYkXbNqkBGILNnY8wPkLGGUY
/t6oR3EppdlfewaT14716B6Th7GeUfo3HNrHu8yJ5EF0XfQad4X9VKcdwVID1wrTHhMzhyGhLOtF
H6f32rqFVoTuZDa5z8Cra9dDQy4vcTAT0bXSbxMCSiCgE6iO1hBtOsMS16bOinVXCEw+xeyKalP6
ntpQXwO3ymt/KSvpIF2GBChahZ2hSbN5K2zr0UPbXyemFexdVlOag6b82sjEnYP/eNdSl7ASgMdu
p6aGoZWM42dPjgkGkz/4F8nwu+GKBGjYhJdzz5A2eCDUNN4xwHY/hR8XJ2MCJS0Ls8dO7k0wAaJM
r23SQw9yYso42d0rcAgbwBONtTd2MqY7nDTNnq0Uv0sy6bMW+T0WvPR65Mx1wAsK027wn+ulsLlV
EBvWNYn4pxq/zt3Qj7g7TS3VM9lRZgSGP2NuSpZ+cXu+aXgg1kUKvIEwv0eCNSUJNoDgyhPkyNAn
uuY4t1WY5htt5/6hKKfiiJYB2RLoGm/EOFzRfDZf6A5G32w88kOhP5mvYdHg+rBt+8Vw7Xug30/B
WA13cQPR1gu5xaUN7SX5sDQDj+oSMydMcEMdSC/x/gTBRHlahfKajcVtivV4XTTp0eY4e6FBDN2A
S9Q1EB8SJVye7JvKC8oDut+X31aP0pxOEY0jnMScq6LOGdqYfqQPKhzN17ipvV1LYmPvSJk/Wdpj
4eqYSR9JU1xZpatPaAJ4QqQzbhJL1M8ZbKcbvw1BgFLGQbcAg2qYBG67LOl0zBN/znZRHamDMBJs
HQuhJzfrajdA34SwpidhAmxZ4DHSzC4s07TtMpIft+wc5Y6ZpHnSov9ZNRZaTxs5hzAZkPZAYla3
rFsO9nl7usJPIJlOR+Nj30XjrV+EwyEAjnOPxTLbzuDJzlFgFfc1h4t7slECxFpevU1Zr2JIY2N/
GpdgYhxQX+yOdvjct+BwYpqMKJ1XYU1MsJ3rM+Ol4KWAQLihhwXVIKY2KIWts3UAkR3V4FBBG3vi
YiVucmsXLUL5HC90sMHu7tAG4i8KqDGRJ1UBuhYhEruD5Z4mt5WvtLaOrGdzi2o4Oic9T0Gzpuo4
w7eVME9wZPBVh4G84qASfSEScoZQixRl1+qScAkHYN5o58rvXhcp6MUMcWWtgtLs3ubQFc+oG8kb
/rT5jLZhY42G8jU3gfoZG9K6n0aXyUFYZo+hCuMtYwGu9zC5Vza8uAfHtMx9rGtnDYI+vu8jxucU
DujsqotV+qu07P6hYHtlMDOFZwAxDrjACoBL3im5NVQYXmnYi7u6Za/h8lyYdxkJsTdkFveGkVVG
toPmRR552Z6ZGMiHXHMBN8opfUhL41O1jb9zG/ZPnYVXcTQS3rGd5hzVo/XhFD2yYso7AwCqg7fm
JQbGoCbHYjODaEuVsUKe6e8hUHEAFINuNlkB+X9uEDJoKBxAnAnrl1B+eMKhUxWrytCgCieY7Hcu
h4MdwzjA7CXv4dDUOY8tV/3V4KEWMI0S90PZhvcqCEoqpjl7FWHywO7KmcfhLs32ax+anAY+Z4jT
U5tm45M70LkxdRWDJyPDdC441kI50+lLoKoJMRpcy2svPTS3IFMDsgP69oyvhiUqMdKdZ9ry1Ap3
/iiqxN37cN7XbUdAMODKuQ4UNfRMd6YH1LDu4DhA44Z50d4rU7e/MNdMax8yw8MMcfXYT0uYDKzh
iktXcFWlg4umwSSGV5XmEpmDaO1bD11hcg1rhS0v4bFkgg3qqE+6Sz5bHc44CqF1EPo73GScOaME
Cgqjm4e2HytuzK1zMGUtuFX50B1WtFL7v2bDddgp5uIpjfkMXNnauyRzy2NJJfVto3RzhnqXXsUL
WzeaMQquAMz4fOTWTxYc46YPp7bbkkL26QbJMtag/8ArppQS2bSL+8GBdOmXP526DKE/h9lb1k0R
IxQsw09uxvzDwX111xehek+Dtr91bIYu6LSYYdOe7EosVXH5X3HC/wsxToQn5P/IN7n/oBSniz+K
P5vg//iq313wnv+b8MCUcN4FSWIvjvbfTfBu8Jv0qZ1zWV/gyfmSCrw/TPC2+RvgNjaTwP17D+4f
Nnhh/2ZKCdsE8IqJKOc4/4wP3neXmtI/N6pZWAk9Ezf8YkH3fPcv9vPSrEajMLp2Z9L/mu0NzHvh
DQBERNQ2YJha+BFp0nbsW2pHlCqJmbhiJltqpPlt2wRw/dGZ/RMOcHs32LgW3TpIMdFOFSMWjwMp
b+vgQA1UCNL6OsjHHQNZ2jfS2kOPnxqbPkiMovM2YqOkxyiR4Y1uhqZBKCvw2+LC4o6sc3ww7qTS
t5mTF+4CexyjLZ1PJeaHkv4OLK2YLUARuJ+Eb5laeMGwH/vAxzoNernmPdrmFSZlot8UQNU6ve9F
VX/1wjQ+yKahJZhZ6H7mbN2vQkfM/iaxDKUWbkG8i2Qb/cAZrV4yYm81ly7ROwztPUbUXp+PD2Rh
9D6ZnIbzp1frN6Cm4Ybw9/hGBGIcVgOZnNsEY7e5yQtLLSa2bgZzJgSXpawz7Jk7VcT1t8/hDK76
ZuFrRbRDnPPGqikls3TwVrEZRR9mAYqdnPgyvhvSmuFTLZvm1pVgU32cG9xxhhjYK6UxxlXb2lnH
f9rreWPAhLNPfj+1xb4taGrHnlcwFOsK/aJ1p9g/uq7lF0gzBiRoNjm0/0J92p1Or2cG23dZ0sgf
sWWNT4F2SKDhKgLEMox1wdqKDXVlVwPB22yonvO2yPb97DMhyB3tQe2YarZ1NgLnOdZR91zXVRqR
BA0SpluzLO8tl1jplp9gfO6Z898VVR1fUqtVzS6cuuAQM9vb0/8Uvapo9BxAGMwI/E1SaBh9vqfn
F91VfXPlWoNlwGAdDWtHwfEkDtwp1IfT9mC6ghIeBrbDquDa15gFfzMMM6vcNM3Htu5pC6BufEKt
lqruiVu05IG7iZHuOpj8loMGLhHcSsP4pkhBXquE2CPRyCbUW6LDecUDO4lwjQ8buAB3tMLeD3nZ
1Ptw4ES37eqcVdrEM7eXKtDXbS7FRbeD/5RiaiP1FfNdjaKFkh30+XyHA8TO7ulFAofDcf8AHsfG
WDt3p7E342afIWxy9bH84q0QOj15HjM7ekwAfled6eG5y30D56XdMQogd7jmFg9BF/jPNihK9y2I
lOVjwWIiwp5oRNWm6jWHBrsSGeY30Rx9e+wUI7NY78zSpMtmmA0sLOXQRfcSVyipwVhhtxmS+oVL
p//p9r48eUMP8wOAqQ97jdJmWfovmnQnEyV7kKups+SH5ySuiXgbESWETgrMLhgzfa5JwWJV01ri
IJcMuWemsmpnN5V+xanSfsYqguuSeRNCcsM6oOjFmbV9YFA4ORzPTb4zngbYv6GbevGprqIBzGni
EQDEKWmhHbsBWtBI1Zq5TVI8diis1XCDPIGCJSrRdOvAR15elaHPax6ToSFbbwYpxTw8sB+lNJKP
1KgMrKNBnP2Yao13KYjs64I3HDGXro2vxnXLW8/DIDya5vwcB5qomght+dXoXNFw7LnyNM5u0txG
ZCzfmXrZKHgSmodZBiShVfTEE6XWLvHNLdeqGTSOY05vqZ6y2xoTyIAoAwyO+Vok9o7VFXhOvP5L
NZJ8ANPG9WIp2xbxuIydlKXbU95ZvXsdZe78wGLj5KSb/fDDV4Z/Kwj58A28urlqoyp9TSYbG6jf
+R7CaZZjFDdHanEQaH9pTngwU1TFvKVGsmMa7kXXJhbOH51dB4Qd60SYe586N/8ZI6mCL0rtBbdP
epYYixQNr9kgHS4lXTFDkeA6TIVBWDqPPlXBoHZJljIk5E2RbdsBFFdlfKJ97D1i7H+g4kGsOlHp
jwyZkIKWXq4FnsqVMzpwiVnOcgCcNRDLgTwpZIogE1s9zRR3YKuHLgq78S5IDcaluGT7I9xDh9R2
Pb92tJpWlPINOPvAExWHhrRO8mDKfHT4t2HyDA9vNuHf+9mOpJp9TEe8wysE4YrlCIvUD+CT3hlO
o/1OMDe/E5NV7ux61M9ZNPrJXR535PQ7QQBoZTtD8U7nx3goMu5la7IJyQ9i0DA1k6b0twzRAiim
fTZ4j5Gh+18Qs0S+cfK8fncaDtCwX9omhqsUac7aeUmEagzp8YpKBingljNYsP2EWAxf4k43/Wxu
AeNH/cbvsH2tpGG5Ly2xETZuUuzmbJo7cFW4H4NweEgDbzyRrxEHKAR0O+aa+4Tl95Qn4jwK006/
tVM7YCzKS64aXKlJ6S7vIReSzCuusdfa9Iy49zrjiGu79UsZMR0Io5LrsKKUBBUnPCV2Q6RjbOWP
MVbmMYoDn4xFBWS4r6aNnJL3FFjdKqy9n86YfIIDMvZWkjH6CqOc7rwWVOzKwTf20qVJTbtJxUoM
/KClb4uaj8E+QqHgUs9MW1VHHPMxrWRGWXJD5YSOOJZNNoMwjxzabmz8Blpa7P9gysDoT1id9Yxe
azCmA1HmHIY088fbmcfnR4gthM6QnqOOjDMmvmZMHzPYqGk3B9j/00gZWwHxmmcl60967Ii580K0
+P8SdSzxnm1jpbz71IFnSbNgBtsiSL9yPxG/fAAEb5kPM3acp/bTqG0scLMrE4xMCiqtBJRz67kl
veDBgHIJ7AqzvgkC372eVGkYTzJOUL/CoU/KtZ8SPiPYkgAjrRGaxTbngUGCqch4bakVgdYAWGk8
Volh39ZWPyfrbCRUTSRR26/Cg9d0DGa7/cmgRKxyXDE8O/jZj3ne0jrJitB7O3s0/fMMy5ohWtFg
YJyr4NrsxDQxENbxJ/gQ+wpfJ7puSD3HZ4WxkINKUE7vpvA6tZlkB/sWa9rMahHR9bwvXIugOjh+
zqEQXOZ9PjlU6gJ9VzcWpk6KP1PbQ5Id3as0b4B5i9LHKeuK9plD1Jys0sASX209Na+67OIrujR9
aL8wclGsUR9uoyZg0pUFjWkwp3IgrmKvVGftWXGMjup0m8o14nljpV3jUoyZ5EensZjPo7ZSw4tg
z+43e3XGtmry/USWzzdOxmu6puzT3+RM2S8Dgvyz7S7ZcsdPyuMyGn5VA9mmQ2HF9aVXVVRu/Eg0
0xa5j0NBUnpTcqZEOLoZUQcQCUXL+cUN6gsTJ/c+bDGrEDMhYAT3f0bgzrXgOemdgN/ZzrS561u1
obIk3PRdnAxww53m4kS0CZFIELjcYwtvCsu485wOnIpZMuKp2lMxmdZbP4aU+xI5qvwpmlwk92m3
8B+iYTkdKSoJqn1IROKDg0J4P/XjxLi7qqB1MpsjqMONI8q3aZ54wO2oK0ZM6OXUbeCOds9pKIGP
h+zRZ02Ny6nQfb/lFWh+5tqx7oEXxO3GqoLsEgOpeyKOFTzTSuPsBXyJn5p6wafJ8Afsoo7xhqUW
FQ7m/HwZSqUZ0VocF2TdoRjkfgvDvJDEJofc9I9mEU0v9NMQvdDsMS+MM6tuI1OJeSLKTJXuyw4U
CodmEIJw6LqKSgd6aKA1G5Q+AiOh5JzorU+kyyO9gyMqto+U97lUYpkp6rYbs7utQB/U054ZXJRc
EVZPT46WU33U0qKILlF070FFyYJffdHnXyg/FL8hpxdi23KXgjswxcAsyNs1Fi7qMjHWPL2xvEqo
YOxZs1RFaes8DMi2VlFS/FnS/gxEVSAGQPnLHHWMCzV3I7kWrjsbabqlD0hisHxsvpxL9mD+BB6K
dLSW3EeokZgwxk9Yqneo/RQ/jJm3jYQETDICsT3S6ECKVs+Gn1/HbodTSNuyt29n8L5g3krPR2N1
Hk32G6qPwim8pAFnAkKg1kzZUzoHkbgmKGKEi8AMNyVHkQVSZFNLiEzY99xUMoaeU0J0ua7rm3jG
UnWuSmS/jbCqXN52yi7CK8fCH3Gmfka7ZzcJEUFVi5I/9k5x6by0Nq7BManqccJxRrARNoRNwnXG
FOkwglavCTmw/EBcdpoIVflT+57Pk/kRJCrFfk1vQ/ieulERwnWMLI9DUmcDsWghMTNe6duWY2aD
y3FtLZUx8dJpYL7bbt8CteiaQa/rsBJ0XTtTcM32XQ+H1Lf0FdI+xBEBHP1Q4oTbdxRjMEggIf0Q
F4xhjlPiKnMXNxWsCZpRyCiWDL689ZxbZbel6Qc0sRGTNekiRkRTTiPmld2Uo95VymfvCgraKxC7
9UQ8JQHjMeEoIPe7NfAvtm9jynEbB9SU38DrQqQiCOTM+YrBvl9dFSaB00PoB6R9gXB58TObFL4H
OS42f20Ow3U/2P7CVk/aPn/CoCrVp8U7XF4i3U2bwq3gscFKolTHbN0eS1gQvCkOd3SkIwJ6m5Zf
ByQapRzzwYp8rwdDLmdEUXJHcjUbXrfzBFLpavYb45Tk6VugjIV8bFXRXZxW7IkyrCB7jozJMnOG
KxFhc69NbJNJygAxC4aMfjS7V3u8gVW8QRCvT6LL2aYIOIa/5oSzHvkCeDcbJAYg8F0WT1+4i237
2A5WxIHV7FuoHvjKMYS6a+1G2L6EM1FGY9cGUHOZ3euoZW0qgjY9kX0lEI1UQgsjQw/HXVNw2H+2
no/caJk+fWglqDGoj1yFM+ysWPrWbT9Fz6SAYKQzAwZcnyWRdZ5cHBk3gVlAs+Cr8eJK4qrGhhAe
JYVlHo/WumP2uh+jwvtRs/Qn27EW7VNrSW5Mqaqaj9xwiyMFTsY6g9p07VUZkDq8CBYp7MghoDHn
jn12ssi+x0ki90mlchhCkzl/2hYfhzu4zYnnsnvkkw8OFOOafH3pWeV2wP9VMb3+iFozeobo0r1M
dUQlraUsMlBUgx11EdCXrX0re6PtxaMGimHd4nS2zHwz9A4lgnjpjew20LpmXbL9PNgZ/GLPNSmx
k+/OTPDGFDYZ6dVwwCjNZX/TNsQiN0wN4X/NiTJxPGk/ZMWuA3f7v6Jb/ksRPJhZoOf9j9rl5uMH
EI+P4se/3X5EH82/HT6os03+LGRaf/9f/tAybWjMNK5ZFq+sawLv+JuY6QlgzFIuGqIDdFn41t/F
TGH+tiifge+Axvqd4Pw3LdP8zbSFa5rSxBTKim/9M1omzJD/Q8l0AtPFKRwEJj8JmuZflEylOsFs
C27FgAdbqXHvypjBlsAwLPd/op38AyK05f3lewEvAR5i+XxDa6FW/+V7Rcyry8ppQ0ZjJd7unjAM
uYTU2xUl+Y6AOK/prLvhJbBJvc8Yxhfnov2aRWIlkvE0YvV0C3H4f/xUC7Tkz1ru909lC1Rlhx/P
dfnr/BlqEjK2C9y8DrcV5/ourY9YPJFrhLcDl7mdSUF6BgE7yrj8FJc590Aap3NuZNXe6bCpVb/P
A/6v4Gzx/Zn/5SfiGE7SGdSLDBzzLz8R48IKk38UbttZx1iO5TFaHAEysMLzGMcMRx0jO1cQaTH7
uPMVCHcGW7NDS0NKT8YcF+8G1OcLU8HsZPP+wyFOjpVX7KqRQZddDO/e+JVNZKNoq3LL4sbtV0lK
y6cPF49yIITcBVpPjNJci5iEC0W+dYlJizLKQjg3JsexgCNVJYuNyuRNkGqMbSAJjPtBlPdzCIg2
kiw6gLH9aWuw6Qw6WEF+uIrccK/r8rp1BTTFYlU3r8sUHyQqR69Pozi5nmbaO9hX1bTKhDykwXOv
+5deE4iG8AHOYPSOsnsOB330J+o9+nJvN90mb7Nx1UWXmVOfp24pPF0y+ERmJ7BnHINi7MUkK4Mw
u56c4YES5iubeMeIOggggDYgYnGUtE47A1YWOz4o3YDQMzhk2dz0ZDZaGyVh2PiS70l3aFX2KBSI
/M6L6wdXiiS1V6RkIRwGkhrIIEl0rK7KKQ9NO6yjDIwmz5EGolXVw33ZOBf+nitl2AfdEWqecad6
WA+EajZWTQT7LIoayxOVi6ACBkgHpskoDmRr2vvgWUhkJw/pUB6M5naqPPgt8QcEya2Un/VYvrft
F8NXzGULvTw4tzCegukuaYqDj5KX+5QV0IwWha2+NaF1PiQdNFAvN27Yp6h11OkZc8lwL+YRfQQr
BRp3GNyFuSy/IptzC/hGPrS85za8wlj6k/7p+CLmqPwIbIaSqDTLSxO6oPbC+OgN8sHDM/vkpqLn
8BBx6wDuCV4jiPbD4AUZLWnslDS60MGFhLaywoI+LJFaEhnD0fmDn056xyHLw76LlLoqhnFCV6xg
5nAKzg4IutQfjOR2bmKagq5tzd7dtO6lmXvvvhN5vfv/u/+xIPx3VcG/0HTPXsZuf1pjlzaFP7oP
lhKG//z3p65jX/wHmKs/vvL3XdGXv7Elsvj5rsv2w/X277ui9xubpLCcQLIKsikyffvvER/jGBeC
ir2cuh2bL/rbtmj/xjCQdwDalbS4oIl/Zlv861ZF6sNhuzZd+EWesOxlAPgn0hU1fhSOaqffV6oL
HrAHTOcCzBxkgyBpPo1gTk+DSenN+k8f1D/aIl351+3IYubpskk6XBmE6zt/+c6QelIu7n3PRqzD
XdLYTvWRiwGdNukt9h2NWTFeJ1ydXrNKMQAcZYk92vcyMhthOpju3swqS6zbxs5olguJrdNRQz+d
NYEM8hsuP2ZbhVSz5Lz9h0EswyyUeFYY4q2MOarSnz7tASNuNzUFNEbbA7SRj0uXXvCcs/TExEH6
/jIhS1eENkjpJLQxYBWswsWRZgn9Ckwl2XGyQTXN85NMymRPE8S0gEbaufhUNcnjjkzcXFrlpg3L
L+orreu2GdSFUaP3EsxuvbdDQ103OcyXdexICEAG28eTQbGw2s6RUR4h8wE/DqefsDDTPWI5yWYq
+DjTKApA4zv6y7xdP+KjhM2JNc4qnpMEx/hQgZ20BvHQIysxhxLLUQTQHTSfdZaXelwFNobfiuV+
RPQUNm1m0aD5wqZ28PpRL2R02O7cisrTZhQflZHh5A3kyXQge8YUj0V2sy/CbMcsFyc6naYrqPF7
16WzrXVm4iJxCWs1bIfz0Oga993SdxQ2DXZmonhdqXNuf1KvsfUWay5R3GcoHtumPrykFkfzvnMi
fYSdQ+1dYjtHabLqGr2ot1ajNUU8bYIzMobUoUZGbw4Hp5QqgV3Iun1FzJfBtJPBT5iBZ8xDY2Dw
oEpx1VpRRuefIX9QHBwdtORS5RmucYujvDiCdiPyM2dtSlNPJjdRq8FH+iNNQhweTVux38d5tJE4
rINNijGo3w62bD+Y2hBIrqgpNNaYM703Ygf+DXqd9Vn0Iv/ReZPy0Fwrx16JeND3UZlem9hNKXJt
zAQ/Y1Afu6k+RaY0rnK7qq7oZS1fct+lgC1SDQUC5tzF87ahFWdetwEJG3bM0nUBArjlXZ71XHdN
iveQusoUZRfc/q1sU86Yo2Vn11mbW/vRwqG0Tw3MhbljNPXGyKW5wQI5iy1RV5xEs0eIxWxsDgZt
PfUXYXTTTkbxFF1FUYWWX5u199Z2Pk47StLRjj28imu8/4h++H6OS2sHRXJ1lF/PvFDH1FqKnWMM
d9wgM/lYNoRsMSf5ycSHuYzSaXEe0K3cKsMHVfbPQVRTcUlfBtMGdxT2KTJkM2x9h8aAq2n4L/bO
YzlzJI2uT4SJRMJvf2/oySJZ3CDIYhU8kEAm7NPrgDIhKaSF9ppFx/T0sJrkD2R+5t5z0aw3LWJr
H2/sa4Gjvj+aynb/QSGNo4PrSK5NR7fEoG2AnVhPoW9Gqod2uRYo9yFOe7JzCClhnY0xCRwLGqAa
fVprXTsl7IPiP86WYMuA8Dc2onx/FQbYxQJ3OX/7SfGlq/SGkICjEpZ7QM2HVnKQ5WlII+fed0GM
tC7TWkMmZwjJ4CYiUWqz2ADupVB6Vy0WYZyqvav9RT+0ufhOC1ryrkG9FeNjP4k8QCoZBHCASec6
BHNFekUVZA9pbJkjABbSnJZJ7g2iwK/F74YDFaZ/J9CvA/eb4/EGCdH0r6piZgrMqbJrRF5gygMc
soJeaiKzqDQ9+ysgM+FSQm24EsB2P6Fuwt+nbWLsoBZo/2/bzDh1NkEzu9uwtsismqx32CFol6Hd
MIf3kDHNqCfroX+MHBtvQ5oRWUJ7PlyWfvmrnHaNTG5cd51kxbtIzsHt4EBKc4sFuvdkJfuxSoBT
m7R6sIQdt1uPwmYrmjF+CkhsJBHCWjpqw7mA15u0wx9DYOadHlf2W8o+BiW2me9DMvyQ/jfSRhs4
BTxZMfxCa0i+wiEH2Vh74ckJ0QMw3RRbgCH8NiYpf4VEauEAIKKrmkb+hIkHOCECcXVcbolKOPWl
rLZN5V2YDQW3Svrppfe9f9xO2R2DVnUsO4SeG58nRZ/B5YBiRDmZ7DGEMXHLdGLXO2tuu29ojugg
kqIj/9SvNckg7PD1PoU5NpEzQVU3pcNThljrzWRdsS8DJ/wrUrs/gsudmOfxwhy9dgiHEzUhCsNh
GMI7goer14DPaTug/EYmFtff/eC7kHPa+GsuS9t91m3FMWuWmg6hMQgliCvxu3ynqA5WbBNNYKFQ
FifZAhanF18q9YhIr/RyLCXq/CCLdisUyGKrWm3TSUuWLZoVC1Mc37FJreixWbkqDNl1tpl5GQuJ
gT+2gTwGOkD4getXbsphbB/msH6MMYCiP81wcavKeiiNG99NFgOeQhNiE7oHwTALhcK6c28TVlHJ
uWJKh/Da7a45SxWIg8PGIeWbHyG9jQbx3dLuzZzvpBBBGgiFnM/ZEqVbi5HYakaiSk+Y8klZ3sCl
nfZL33nHkNTSbQzJgZwFSv0G5N4195LXhJp93xqgP+NKLhsZ+m9G42q6CmtJn6pJzfuGZD5rjPcY
SOyDmXt5A6wH25dlbNQNQfY9JavztB/MbalDBxu4TQDjhJCcxG+5SXTcHVUAVJxPaMRKjydJ27XY
DdPyKy6h1siqUfvK5xdbtnV824R0gbFWv9BHWy8E03YnE0GCoNRgWu935tj4oX3kBAqviaeQQBWd
vxc93mmPaf3Jzx2X9Wr0QOAGr28l3fuJzx34OHNq2Q3MQjDHY+/Go3zsaEU2jtM5vPBAcq+UCzgO
oKUw0Y08wIJEizz4mYr2uW00y1WUx78ZvZRPAV7Mq4jK4p+ePJ/ZY2Wfbczlb7kCndXLiZ5y9PAu
bl1GpbskEPE/kS79yffmkISbElU+12x8tIYQBFCT2elDYkHH2hbJIC4AuBl4ytz5jEjPuRmEnO6B
t9PYW6rGJBOvTH3QHW6OdCyHGyL77BkNtHcV4WC/sHWK/5Y6XgZSG8LqSHpLVnAw2fE5N8K7JPyq
BSTzPNonjpWRwTLpbCOSeSABCVTEsRLShvoXRqxaXTLyCPyItqksk2+s1IK22Y+Chg+hhtURhtYL
CsD8lKV6vuZTvhxrMQ/vrmeqa99CtmSyvWZagZ47SN1D2jdCFEg1Umd5AR4w/4UJWfGa4id/6pBo
PUVpwwa8yHz8jVXcb0dK+0MeF/o1nBtxF+ORvaQxquWZDTNUVcTxTII7P3nP3BboSyXKq4ft62UY
K/c01NnwaEWOoZr04wdHN+EtGy0bG24YvFtsc7ct+qJ3x43PurG9jW+Suy7MSSgPE/xRreWBIQkL
LKJAtdFscOLZoJOW7MYVDvjWoOtguksKnjHOpm3Q0llsepBeJXFnTOHgUMTVXRyRdBmVNb3wUK9w
/pksNWMt50DxHdRhbf9imzIUm6YzDmbP0SfA3ZI5dqpxvd9IghxmDjDbZ0LCGKck5IuNVx0dfAd/
RkRkLwYz/OJBGX0ioLf3lsQNlYX1fJRD7h/Qm6XfFC1Ai3xFJmGylGjI+2muj5W3ujPbQf/mpV2e
rIiAWYDu2MM7/iWhJeQ+x2a+9yoyuv3KSR6aqZN3oxYDoFtHTu3jPGVt+Wz5Y0JfDwscEgszgWgb
20k+kqbeTeih5cB8P+iheOIeH6yjp5r8qXLH5GVSdoZouJBH6PCs3pfRJTi+E/pRzdL+3TeR+wIY
Divi3MnovV+SaNnnWVY/M4xMv6fRzy+WD1GzdaVJ8KJlGR8HM4UnQYH6F2vVcoGay46pyqb2ae5s
zooF7C8Fm8Yzk3qmTY4YYDiyO+307Ecr8VnEgfvL84XfvYSV65u7uGldZ7/kI7gNW4e8PxU74cHB
O8WAKgFeHFUJwhTwBDODOpuHcNeT45NTt8O0NdXsA+oqeHuJfg9tyFEDqQ3ApiDkOK1iIR+khLZZ
aIJaSwU273sgZ3atKjm3Te/8LpFKH2s7Uq/I2vtPVsMVsZqqfeo89zGzEHSQvbdTOgyv6KGJB+I5
ZEPki888SMePpI5ysBRe9povg/Vuq8YDkhvN7m8/m6fLYMb5gGa0uZeL4z8mjLqTjZ1M8cnFNtjO
qmC+F6Y3k3THE3r/5dTzK/wcgmS4MY3lP7hI8w+VFRxt1if3jO/mi/GlveuHPn+qXYsJo3H6nwAY
YW9bRdTBFLYIKYOSZXjTLZjovCC+TdLwo0/SbyRE02OvRIxGpu1Am6IEkBv2bNG/PlTBNsVBfHCl
n+yGUaavXRj1b2POm1NatXnLsfrt4gmXTI3o9ZKVbvVIAMu/xCUBVCoTPbWUsw9lBZB+IiHiL0Ae
chuSUZ5qBIwvuHHNZUkEUeeLGV/BwIGEtIr0TmPqf2iWztljhtL1vrIVpKvYHSGZEGzqJ1X6ODAA
2DnMpJl25qN66OlJv9pZuo8p0WeHeUE7AbOjux/wjpxJ7njrxQTOagqxWWyzyun3U4MaqBtniRXT
LJ+pXxIFN/ViS64rNZDJ5fuQNpIwK6YYgAWid/C78UdMzMgRsYM+c60ymyce4INJXn1Xm2TZL8jr
b/H+FM+GKg8sUCncw4KW7+K4rrqNNY/8oDnvA9X0HxmDRvCpJvuc/ZBYMzSbIPNrsiFImMgRkM28
XRm3yi5F3bhZIu6UcPSGbT7TYzlEcC0qzfFDDfErk1x98VScv1oNz5VO/YpOEEROqGbsISnY4iBi
shxDUNpZQ1++TLOSt6lV1f/ccUrbDfoMiUQuN3ei4s5jxB073ySW0mH1XdVdRaKjfLMgCDtZPGgk
A5QDtgZjCgS+OO2SXWO56s1Mqo3ouyb7GXy3egk6qT9z0mOnTfAjFpqitgYiU8afoxEIiSJWz/lV
oyp9WDj9XpcfqRHJrciO0I273SEv0BEmZqS/QjvufA1+7b82Er8hhI/mE/2BIlNCBG+gFQAAVaa5
SajU0OFwdvAN5RVeI0R12RC4T5HF6W1jiTnxm9QIYfRwuxSD+eyrfrjaq6pKSzjZusEQNvcOmqtV
faVhvm+ILlfvXSCyQ1JU1pNXYnrOKxBpdrA1HPHNFuFz/d3UrU+atZWk3gmIIaIwtpgzPu/Efq1/
1F+qmLJ/g3DDA/KgGXcoLqINlIAEVSimw7eCHnKXsO8/6SBDAMcPn1AT/CjMZKrdiqSDobuZcZL/
llFmvwQ5GwemyAvfg6WbpxkQEZHYSVK/uhUAmB/9WhvM9eeCRuFfQw16Tj2LY4hghx2kuWbnDRYZ
j+jgAOOwum0KhJczKkhv3hmu5u1oMJ0CfRBrMfZKylRzmTv9LOJRHhN4c9dkFd5FqwQPEYq3gy0D
H03Bj+vDJ5Np9z524upGJK60Ns6Pom+Ki7Nn6vo6Evh2zqaZxwFVr3dZqq5vdmXqrNdUdcDa3e6i
AKt7E2neNGu54n8LbzNQhjC6ou5oR7H4Snl8vpRNjhcRjU3F15ft1U+FdzvQQZFv7JinfA4e5iW1
j9zNxNLE0IlAKTpkJFreeCytCPUKQ6l7T4KcZib0W/gxevVKYajbFVad31PZAb4UnFe3wFV8pl3a
w2ETkVi57XMaTzQei8v8bTE7Z0rLV1EGJVShsfMfKQ1KdwswKL4HMwI7ASvUybipD77IyXZskgRQ
k5n3sowjlAQ2ADlDXBekgB5Wh9sxS9y6vYzf2mSAsd4p/TufHXGLco+kQWDpHODu4D06Wd/etvzb
tk3bxg+pLZxboSx06QTABtcex8bJaYr8IrENXFFzq2vmZuGTb7M+rLHaJTsWK/X7rAdzz3ANu5Dn
aEqaMED90Q7WPG4WV+X7xJ3/kNtOHrpMSCbHvfxtEYd0Hsi1evY5mTasqpBMAa4mhmcBp5PkfXLo
PLHcR5rpWyqDpt0AbA5vp8Kox8WaBI9eCxk+tZz65DfjQqZSGVyUBxDF91pOwalBgMw6mdUGwyvo
0pbS9/QE8tVP8f/vhBiouaBgOJrLzDSseAKMZ06B2KqT1i8gNHqTz+TA2nOFZV2odNrnUzk9BrEk
dXIOrTOcXnWxGtFsZ6tuPwQe2Z2VNNlOV3nGYaxPtOvkv1Tt/SAa0h4KxLA2EUaw7QmdO8PHrW5K
lmEHp+Q63dUpDrXtjM5gD/eHdxzsFXKscGbVV7SdzcUjhzu7jPQr+k/7NRzrhLDEmdURkytsg8Aj
AXaVqOjY/GXqpUDIDy7U0xMhf8RU1QcLiG1zBQwnGcmqBgRZxfADyWqRWG917upLKBCGoqpkOLAF
44C1b067jGwrP3tOgwW7DPkPDHsXz/fGHa7f/l8eVMtx6Uf/o5CL/xROUWMfgrq02n2eE6d68JyG
cytv06jblKWPnZ8YMudJQ2woCGfNJH4cEIJvvevkX4MlcCdH4Sjc87TqMC4Lo/6XzF3q99aJx6OV
19hFeydLIAW0+hFhCxJCSQ7QgxoZxMH6J+erML89O1MIZOC12URxfFiNkx7UPEEiRrtw0aGsXnNI
1mQrkkB7QPksSSO2wfHM5sxvYdlr/El3+NkRmRHM0TwbA+tRxPPywvgSOyiuuwdnRkIPiTdUNwky
NTgNrRN+MzXwQULXMKdQxrI6sKbJcrHAjN2JGTImwi4BKJeFPhcEI9T51lRusO/Tx0wBlN8l4Ktf
ClLciDdHFVj4+M4lSubbWHITnMiQVWQ1LihZwzTXJLfP0Co2E1akYcPU2XsMFViAjRrnMtplwYxQ
0ThMandDE9bFznGanMwI0GalG5lHB8DEG4Pz8dHy+5pEDRtXNFaAo9HK+eXg3r93lHH3WWiNArSV
nHcard+97suZvnwM/Q8DKJwEPL+8YoIfHjpLwt1EA5S6V0zhbF1su+SvKdv6uzmjytqawBreYfug
w/Uprg+pBypNpNl0T6DzivFxC3I/Cn4Rj03OqnKbKJl8x3Ya9NvMte3nJGbQu8kqUT3nGYlTkxXT
QEf+4nGdYpJmk0sjNVWOd9cBMXxqk0Y8Sdif97Pl4e4lkar9vSCLB/aXt/TybejfCm0hn8rqNaA+
M3BT/DSS1wzZD+Zq4sggRvbMP7EfVMEFLlb8B/P/8qkiXp49uXr0noMA8LIbkA/s/NmhjVu6oXzj
aQO4X5cZNwFTz+leCyf+wz56PeB4iTwQXG9B4MizA8v3Vsg6uJBjBSO0rfSVs50LSEfiW7v4Z3cR
EOjjqNBa+1amHie/Cy4T/qUbdzTDeXHS/p/u3ezo89i2mzGMWnwaZpr++jmigq7sd/QQAAWNb+pT
7QLB9Di3Ybw25bOLpvFCsgVgc3bF33XeOmq7IL07KhAJp9yFxgs7pmo/bYXTZJ/0QfNEi8T0G/rP
r2JwwkfQNeWfRQXB8yI7/tJxDulkIJ/BrEm3gHFZd2SBtkhXEeO+53f4XI/a/OEGqjDtBGP0Yi02
+Ni66ggWAaxLqEagn5pmxZMunC31xu1dsNHCmIfKCcqrsvkim0waMgf94MGfaqYJYq76j4Wx2noh
D/I27LU+xLA0oInUY/mE46nIMafnUhFa1yyPSMH4RChucJRk/iPLrfpcCjt90hgDtrKYPDwRLa2G
Czyn6+wU9MQY38MZ9rHTNsk9b7f1NaEp3vK37ykYjz2cXCRs0RLeQV1bHmbwyK3t7aoCx36bNngO
8mi+9c1cPcOYHo9dE5BgnsIkQ+G7L/zS42ZkdHk2Wnj5xhmnbJ9L4b84Iz9X5Ae8PPOqJy55rzed
pcfDQPvKhqZnwmGRtglTODcfQdr4D7EQwCtdZ+qe4HFzYfMqA3kKMR1uIGSoSzbA/9rMsGhR1E3d
DdvVP01XyGKjjPbu00QGt6PfuI8T44yPOghdD1BrnBjaXdY3ac/TNIrkxKlKQHdWh4R3MFMoul7+
U3WM3Q06UQ8JrdHknTB278AqeuNcEZ0gk2tvBfUbmJWZojOiZEmZcBa2HJEmsm1B62CrV/apBhwA
CsG0Nc1pgjG/Ezi39yAgwuYoHM/lNk3AvWTGVB+k8ehbdof9vvRxRw8kzF5BNYHz47r/LYJUgDHt
y9DaosSMLn3sUcgGOXsrZ+npYGCNjnjCNaOcqsXsxzaHca/yPpXnQhtIMVCeY4soD5cZCewi5hi3
6Gw55KKgVchpdPrs1ex8sH+NL1kwud/NOE9fGWXrC+4c9Ec+OjHO/7jub/wohxyxYC37aAv2lxAq
aXoYkVKaLBU9HuQWDmPIfgF7mMI4XDSFSW9HS4iv0vHCChFajAutA05IkxYB2UZ7feWHIpCGOxhG
q3KG8+wRMksmRdKcO+0p9DSJrBWi7HJ+a8NCsrdJo4OUiju/blOzRzffxNsmlla8M0G23PZZvLoo
RlkAcvY1AGVdOeCX5uAPLpSMWZ5g44fYu+G2kpmKSZiG1XSnqlVXyaANJHCecott8NquplS/d9qb
aAKguy0KNzmRotBE2wpv6a9y6NijyLrAehhAqTCxZZ0ZslewOzu9/g8jLx1oxEz+YmfrlOj+ZRVs
q9rzvsmCrO8UG9RHLi9ql5LrEjkMV/vZiMoudgECnXfmzXIPVdB6SdbuqgrNcuiTaEKdxn5wP2ZA
gqesFMD3BvldrBQpw7jvYBGDkG5douzig4eKYBsxHL4ulbAvBOVOd4QTIJ631yF5lTa4Ejq5D0Pf
5s0aJAiH8ZGElwcn1SPdtYaPXHeXOa5LvBq1hZTOBiM8t8NfW3lEyFBO3Mn1dE6WGVdPIOoba1CS
LEz+G8Jek27w2ol3YbXZnU7S4hZiHwFfRpATSqajzraOZ97TXi2P3TDUN01BCKZObWsPRqY6l3Yg
/pQKOlaiwu6m6hsC+Ejl6AjAGaHolOPyBx1xekrwdp+xBaKE77GArfwR7/9rg/5iGDPzy6xQ+Hx+
V2xrMm267I/5X6SvrNmQ0vzfM/BuP7/T+f+cgfdfv/S/iYPkf3AduH5gCyk8gRTmf4iD3P/QgArU
r+GPNAj5zH/TBkn/PyhLbez/yIAgrkZ8I/9dG2T/B/UDaABsxpwjThT+v2iDYAr87/Ig30YZZPsS
zGnAtH5N4vuf5UGZDc1rKRZ9wHmbujvRJenRxlR4b1m5eGUqbL+FWE0hZpHMeQMkDVZnWKPwCMcs
f65diU8JpRqG+HF2vz3COl4WJEc4hJpEkiZf9336miRNPEN2asJXnLxoYJWUu8lyBPdQ+cREefpF
nBWK2bQf7kmReIUpNFnsbjiqPQX6eanZdnqBc8+kAdgOK8gLwRPpucMD+ABpptQbhMlTs9WlqaAQ
pxyzWM8It/dmlJ81LtMrGq5RbLs+nNHlxMMM5hhOxkV2LdlAfrU8DZFunLOPGuNZiXAZ4M11wzMu
jCq6LO5I1RQJfCybkPjJ4SwTDC8bmmf1bVkhdtWZ9R06g0ok5qYnuza6DLEEjDKPruwe57lQ3y4l
SwZyfiqGV9ax0XdDvsEXoMrGPkmoe9XeBHCvWBgQw4axHOW+hc6wuqc0rMfLwiLmn4kD09xNjIM+
WOjbL7hzEFZ0cfgo3dk7jjkGIN9xrIsiRVQcmzL0v+Yuc0ku9hWCiTZmj01Qmg+bNZ24c0jQaw54
jV3Wara7Ejdn8eIyWvvdly4Lr9bq/kxCB3cIE+Zgr8OWeygdE3b7TFyugS0JckviEYO011VHfivg
Fo1HWA5QzgFrf6agqw8FylHbJDdOaVXFB0MI/ynPK2jpqI/ExWIVuWmAbbG+xq5LjPTMIQq0kQTh
vqJnBX4Kh2rNTHVBJhzzegwu6DqTG7cu/vQVTwsHPTiBDM0TMJkkfw41exANvhX3Mj834mEmOFS0
6ZblYvMpminG3NM7/5KyCt9cPAurdYN190eqECCRlzxsg55AQrsRq1jaOpG4SOJobWdHgcMq3Zkq
yq6+qZ6Uk2fTZg2F8LzZewwCLyJzuswAsGba35cMs44teYV/ukr6OSWOVb4PHVXHhq3ZhHA5S4gM
D1yIe3hualJGyrycQpDMZa4umlTjYxAuLVTtMoEPDZ19DbJ6CnNyo7PGdltYAoZUMgdqqeuSd+0G
8FnVwPMejQQrUC9rAmVC3OzOScR0S1yDfcrAvUkzPMMpY7s6xYYEVc4ax7MIDHDhsceqgSRCZMil
ZEizr6IhfdcjCySIAYlpDgTmDtNNO7O63aXF2ILtDiU9Pu2ybLepNdr3rPghWypU578d2HEWGogE
CRGh1737xr6hte48V6cdQxIAuYcJYIlHDJ0GpwlCAVg3ZdosdvnEB42spvYoSB2Z1NMdDu+kv40H
ICBoy3Ka0Czi//WUhrgIwULH9vhmeLrwpwVQTQ9xYoXNFkWIUFtcTyic1ILqGH+keSEn2zuHgPfa
50I3tNSZZaBHjQMU96FsINChXqTSmoFmEWSc9hKiQV78LUeDN59Imk5tFBY0JsLghFcH/8IkXIcW
EJS6t+OBTrz8B5CqpZZyCPmOc1XoM08mZRDw+oCyrHOpBqiS6rVe8q0JnRs+BzJTetfrvpyoROhS
pTT1MY36sMn4RxwSkyRoi+qsZVoLNBmZ8aFcCzdPqDbZpuuSCM4CtrXFJqd1F3sVZV7xU/JxQAaa
eSgq9i0/YrVjWkOBWKTOaoqdCiaRed2NvylRwtuh8Oq3hoVWtSH6a77r15qz7pxo2nRKTXvOocTa
TToaT75txtshalFZW2EJ0nKtYnNAr48eI2H80rV8QrWeusyrvTxhwkABHLcSy7YqiQ+12zm7GqrJ
7apce7Fr6bxVxh8PdvfjLqac7rMxoWb9KbWnteqekqHEHolcEjY6wMx9Ei79Ucx9dKMaIIa1pQHr
QYph0ubW6t5Cl/gp1go/G233leKrOPv9kB9EN8RP3JZZeGztQL+wnJy+mNK63wSgjS9jV9HaefVz
xLGEs7UNIrQ9Q/Oc9yvSXy/pmg5N2PMRs3dyYvLosK4evONQ13mGHMoMSM7yKEsPYTmw7tOl/ztB
b9/u+rUpKtb2iFDGflPj1NoKwOqnfO2gAiTtrG+Yn44nIXsHf38Z7kpZNqeqGhoa4Xy88376s7YB
AnOYbX5gIxL7L1ZK66aPcyfdyjqx1Q0mwoWYeyrHXy3+NMCzU8XdVQ/KPQM+G65FkdJMYu2ksZzX
HtMDy8hGbwa22kLxBslHMwoi+g9Xc3eDxZMZ90/TOq79q5qK5FrZFToo9A/1k7e2uhXxUfQI7hDd
872Yj2qMBCtF7WNMGJvlSQIBPmc/XXRMP62D/C8bNyKYggVJUFxl5o5Pr/4NpmDZTZ6xjnlnvGMj
3XzHkvGbiIXlIV1bfCoXEKFRXb2jakMRHFlZeq4bhAi13aOBihryG2yCLHb2OmAQrCNSHNTR/GjT
ravnGifdRTJd+EBRTC+XuD2iV1bfBAiOHQAvRI3afPnt4H7oUA2PEwtm5+yldfHeED2X3M8u/v6N
yN36q1lnKjF7uBqKUtOtQJ519DIDKM0PZIgFzxFBtIQrYRu/qNCwSYq9Fagwp55F457gqVuVRsGw
62jlibjBDUqcjPEe3ZzIcG/UnMx8uPYrgsEax6gJIRPw1RUol6Rt8dhMpMgvo/m3jlBxUQz8vVgH
VN46qipHT92M6/jKWwdZ+PAIQdHB3KY7rxzyXyg26mO6jsCydRjGrsW/gFhdFwJdVr7ldlmmiNY0
l83MLwf6MnyxlOgT/iH6Jbg9HaEEWGxmZ/lsf6Z0xCfOn/DE4z9GTxCMtR7qhDfWJaNOTnNaPNhI
v6588AwFJV9eb9tKMTBk/lQzWAZ9SGGa0gomCCLYiYCtAbnB2JE/MznKKG8+cPJUvG9YhA6TtYCL
j4sBc7PXqt+A9JglZowwPovZ865uHMefTt/r/RCD3qTAs+Jr0jAg2ijbK84B39I+4cxcKdeieTNh
0v5ZRNOyjm8C7y5L2cttIjAFT2kzTzedVvVLE/V8b13XeHdNmA0ZSm16XebOibOXIG8eOPXnXYfe
ZzlR7LAlFyJOfmFNX88dEgBdLaNhZb8wK+piiqbd3OTYo5xpbj9CHJGEKiHfv++qllmL6qf+05iG
hN6fcXTVFsW9k8nOha9Pf818GsvBxl4n2Kaze5B6oVh+JYuJXlD/F+RK8IcBqEoFqM8J/P3EkOQd
R82QPhdTHz20bgptkgMm/DbUluSVTmKOD5qb+QFvPdFkUOdQCFUGBWbjWMyMiKSbkTSH4kTQ3IDJ
jCngxrO74DFbcjYYYT3KZ3/dESg/6V+hGmXPTMLDh/FnoZCuu4VSGm84iAjZJSXJz2bCEMyx6eDh
Pw9+lN3nw8IaH9nWfO85LXbhZHKeWsVBffJ/1h6Z5fl7b/Csb068/MD97B/kHOZ/2TcR+F2l3q/o
Z2OiheU/iXWN0ix5kG2j1MkQOK9JBSOe1EvqN8HvIhiWh0p01lcTVvmz+FnOSACF13qYg38QQjN1
syR6zTXTXvXt4KV+XUai3kpARld4QKSvETAu8q342Qj5aTfPUKw4hU5tW/kn5GtMlRP4nftSK30U
xjPXKu2QJMyZID7XUzAh5x4wBJDb8iIKwK1E1g3z27KurmBfs8UK5qANmOBlhKTYjUKfQggB27EM
9E6dZNcp0ayJq/6dIeJqAmRrtqz7s6yW7Ue87tS4mtRlSp3wnHWKk8dNkNiMAWvGWTKqzNbdnODw
2jhW+orBKdy4HbQHnsJhI1nqNSz3tO905ymJEVqGpjy4VjodwzFF45jN8d943Qm6suH8I4uBwelE
d2gZ99hUJj2OlAggAKbBv0uipnmYVg4pGBd9sFn3nWw9Ftc2Cfo/4FbVY2ARL8UMhtKIjV7z4nL3
Hfxw1KexjJIPyhmS+qL0Kas5mjUSRYo5eA8j0+dNMDTxVXmkHqkIfNOEauimX5elzGWX3ZhBl419
g2kgRErOTVzskbCZ7wIZ4bjPx5JowhzFTt5KO8Hs7BvGr2tOrTV3165lfIpQP7/gHB8+l7D9Xn62
vKUbr9cp3ZhK6/jszx1DJwt0AS1QcmBDSFcLhEncRhlx6ykeom1LLOymW9fKGbKeR1MJ1JTtNHVX
n3XbDStSdZ4tchB3IWyze2/xkm1poeRzmviFx/7Rd5PrMPWvzjK6Dy54JhTJ5bIFMAp7l+n9ho9z
jSFIQIy3yxpwZ5ma4B5ms68k9aZvgsCSLd0nJOOobn/5wkyfGVKJB3+RDF6FD5tlZvh/8uVIsDUs
a+eIunLFya2bep+VfaF0d19ULjMCbU79utgv6p4dv8D4A+4HkEtdeN67npvhSy36tlo1ArpEItL+
CAfQBiVfclUTJJQb27CfmsO8ag0o9JbrsOoPciylzyhquOfC1gPwQahlW6L75BG1vHO1VPKu8YPx
xQTU5rNmhovZ0TK/2xVuZGw5oJ0FeASmXH/BzEkO5YpD8lYwUpwQEClCIw4jCtETmC/34KwopbAG
fbipVYKzdvihLVGNwIKdgnaPxAoaU9PbFXrK1hs2TdHXKHJB33CF2y1bZro2umEL/ripKJ52qQXy
KYD8GbwEsKOIiJF1TWdiZIqDBlRUJ4neZSUNQCpfsvoDoS/jid6RJQwLSCHJQ5Ur8UqWYUP5XVQP
Te7ID4mfBGVDaX/r3Gps2FUlBCvF53Du6W4OflDSSATLlL0WcENIMQyVzJ6V0nV9AkQX7lXiG7UP
V2DWkCrvHDABOrP9hKeVr2gtmy25f1oHJJ+JZwEX+qFwuTCPGcL+0LlwpVnP9orsMiPwLu4X9ZyW
gfmUK9rL0kC+YPuR2LRiv34IYOUKAxMjcxb6OghhfgwsDLGMOekfglgyzVBknR+yGBI56EGMlSGO
OT/0sXCs6vCVVTlUMnhOkbPRcbmWjMnNOCoo8l3OL8JE8MxiLWCb5SvmTK3As3Bx4zfBkDvYpD9E
tMIEsETqrLswwcH+HbKdw/ChpvJiAbasXkhnZZVmVtBaNQF/hSq9AtiWlcWWjSAucZvxkuNFi6q2
ivYt7dvR+S/sndlu5EiapZ+IOVyNRqBRQLvTd5drV0hxQ2gL7otxJ59+PiqrqjOiprOQQN80MEBe
ZCJSYvhCmtn5z/kO4hy4iDkG6mYZznzFobP+7n1B34YBIT8Nyd5yNNMeKkmNHp4lioM92jKjhR3H
LQdGjkc+SDnVgU8xFs5clnTyG8oM4FfWI3bSsOiKNKsujgf50q7DELffQq0bSc1tjYVkl3xB7ZSE
a4j8UAO8M5iDoO14ee2w40MwgPFoAsgTjPoNEBxw85IvhN7wO04vU4z75ci02ue5DnKPfC34PWzH
TECyqANXGNsjt3sDfsoB1Je31r75wvjlX0g/8vS6X6dOi41mYf5ZgVq2yrjPWHOaLHvAo1o46wDF
8rr4wgbGec3DPcr5YkIW9FJxVE5uv4ZaA4SkYwq1ThcGobHQCCfXAXJjRzl9C14l3tLMqL6J3JDP
sygwwIV1pN2UcmnpbGxbkg2wmmkrp5YtbJx19YGdeLbt5yrN1sHUQWDPSRipNfHKCpNCJMPvNkbR
XQHI7UJKg5IN84vB2Lodg5JYOu/ii9EIsic9kflajEPseZ6TRmswSQnYJckCecwd0MqQxUhufDEg
Cy1T+yEgaLOOas4ea9Mjls1HIoozMA7QAuQ/uElyK7VpcfydOWnmRGMINSxgyuQLUtlRwLoD02GP
5POC8aUXC9CSdsrmiU4aMJeiGz1etSuws5hpO+NNxRnHUD1ll9xlkfEgXUkazm4xHQRfNE3xRdYM
HSCbGNxndIsv9uYUGnC18p7GoaO34DmTL1InX08h/TT8QnhSP4FrfQF75gWuYAQR0paFtIodam32
AcPdvMKZx8iN6htsMnnj1uI6/uKHek7yTQ06lnEwpJRyDV+w0VRzwTBR9EPWEv4fbvsvRmlbS1j9
XR96D7DBOM1DhdapqTOSt4CoGTqIaSqTtkoJySbUDUDZTeoQa8CZQnY0ZOJknYYvjGqcjO577XT1
I04aQGFpnPOlTk0kPQA8ZJLCCAv9UiQJoDWlTCdZwVoF3Aq/zz2NZo1WGjNivCR0KDfsJ2rFA/sL
/pp/gWDTwg518hwtgNjsd1gsfHJCI8D7L0mejQMibTq+CHDmPvix7oU7CfBsrcOgDeEydedKX/i0
g+Zanq9ZsGsDI06i7fiFtA0oLldrliWeK+MX+hYgr43Lp2RWCOITAg45Sgg+mgCia4u0wkvf0NTX
Vzq9g4UGHZhTpAYmvR4VNn2qkpONGcXzramCtNpJdkY1Ryav8ZXOPb/pF6rvgD8EZGWLr0fpCTPN
Ic2Rv+BqtvaKp6rFDBw8sFYOeneevqDBmmKVIUe/wITjWkdMalzBc2Am/3Jp6G1DZV5IxHEkgEAE
X4BiCSpL7HDYEnrShxCxaCr5C4fagjZuKDwNtllu/OhTTd7VWEZRHvFIQUMsW7xFUdJiz46yKltp
WYX5t+GxSUlnq7TbkKOGfDLjmayS6GMOMEmrVnIwem3Lsd6Of9h2MX3P2JDR+xhDTkPFtbFuF47y
o8GFpJbJae+S0eu3ERGcpyruqhMMyvCJLDI76UJWyU2msueK4t4NyFI3PSQsIhsSL+0qVG0f+N0Y
FK8MdLSPMq6mhyTzOs2PyiVu4fLYnU4ZSyE8DZlBaDa9Ue7VsGjZoDvf2czVb3oi88cZvC9N3tXQ
0BGpRUfNYNgE9Gd5RW3QWStLLKC4KLM/DU0NW1QLazsiKJyQdOx1YjndTaNPJoa7vLRoY3OHeW/x
xaWrZajugnnkDqB8iqZpMzTvF5s4A55Ztg+pNI3xRJoTSD36SridBxeXXQ7ACFmmArC5DWzMZXvJ
15eCubK3Fq5WNCQXxIYUs+8Mo/BcWeCz98SPLMYzUStJQKamgaE6uo+ULUAYGtOrTn8mDdulX+lg
kaWas+GdgQysW09hHldYZ1nbkkjcpxxNqK6hMmVJzYUPNU2HD+xFaRrSvcjV1jqjKI1tm1IURevl
D3L3mFitGh1gLRs9/zSbRJJJs5IMKtaI2K+6GBYIVJqVzQA9Y0dZi3z3NXT8Pz9BVpq//ccfGQu/
/OffYG/yz38sP/NeMsOJw6j9+Sf+9t+yi376mf9F7AYTpsGfjWf/s2le8z8OdH//gd+Hsp5YRq8m
R3FADrDZxT+JDdL7jeEMv1swerXNrz/5x1TW/Q0fj8NIXfDDhrQYlf5jKmv/xmjV8aQwXMexXOOv
gYwWLMQfQD7S9nTd40qgGzzX5loLWeEPzIYycgc9QrDeB7DwBkDcWmRsmCJY2PPKDuOOLOfsBkoo
rEDPs2SxpjC+RcZtkyW42bo4Z3HvujVQgtZgOdWRxiwo3Bh1tC6Id+R8tb306n5jwnr6nEgCE62j
X+VoOxnUmrBjGGZ7fXwQCHMJZr4bG13g1msMzuLUWq9zUyuIwXjxoQkD2sJN+17aVbPmHZx2KKq1
X5Zme5U0KLmSrJ89JBtHWEcXsLVb4a+c62FeC9IP8FioiphrWW5dqj1BMnbmhqcLiGnlXTG0MS69
1oQ7e46+M3uLTxOsQz/RegEWp/G2pWN9kAVy1kMPKWapDE8rkhgYpSA9jsF0SBgA3M6eNxxT3IMf
nuIYsjwij4XRvrqjJvcYl0gwdAxDB6YWVzIWn0HvGpdWjR9zR2W3ju19ZSfaReDiK5P5jYa0g0a8
CJjvt1FZJ4CHZ5uSIRKix5ztPGb8Ilq5SnsHfD1sg9H6yLJq1zA0WiHxkzaeyjVOyIfQY9JGVem8
QRYK/Dws0cwNKPPMeJgGu89M5c4JzFFc3f7QDPU67ka1YVAlwcVppCEGnvWmMo55Xk5EiG1y43Cm
u6y9IaGwLJVYgjZ2SF35UNlv06BlPs8h/Xa2hHkN9dBcZ9AZvucNibxVKfrwHTghiQB6rW/YclF1
YQwgq+tO22Wdktc5Aa+TNYqJcVbLjgpmg6JPbCR1X+XDuY7Sa3ZPLIX1ALV2qgj8A8dj40bowImz
9qNKOwAWUrszlHdMuzZfGyFHRlCAAIOpUQpIN8ubtHQ9fxDznYzK29TVd1o4uKRP4uHggM3AENou
63samDeMS5TP5OAdR+y4lVr2nfBQf8VO4aCZy2G2N5v0znU7xFG0kdNISHSlhNxaSTXQ9GzN65J1
+9Sm7rWh2c5dGzaNcXbdIFkOQYWh/GLSYsqz7TSHaJHTyrQmNxlSU+9lQnFa5MX6WcXYkozugk8X
XZxnGxt+FM2xcSJ4wVpist2QDLc5JDYoBLGFDxgSN4peB86QMzhLcrjB6zyFPu6GWMCkLQPXZ58+
UGiQGHhysSZFjJpD5M+zZiO2IqB4VUs4Fas51Cw7rr5paVLH9B8X2KcIkKLwrFiw8Dj2sqAIhB3O
tMeDXE+nQEXZsJWjkxmYMesaWISp6PlJnUwrf1Qp2Wqum3jcAaBAvHVoIiZh2w0K8pgBJNENJkV6
G8nsOuUussRE+NlRlKzAoWTEFeSabD5Ks4+IXRtsoSHTT5CVEUocsL8QWYuBO8ZrE5pVw1pOfsI+
Va0EHvFyH5hks0iLkn9aU/qDD88p4Rn6FN3wZrmphghsbzCyh8Dzde6QVnIr4MlmRS/y+yYJ288h
UKVNsfwwEKilNTa9EWWSJ9u5s9FScjIG4SVKCz592vqiXdiPZrsxsZMh8Qg5Wz6z7QqQbBe5xkGo
us3eVc3+d+tBHE0xjuMXW9m9QVmNh2KMlTC68wpA25B/uWBXpT7IcpTZosI2fZgCtoYrRUF2RiBT
QNeGORpHHHHs9nUoSsBPWTSqq65ko4pXe04OOWC0V+loa4dQEQJb85CgCEXt+CyLZPSbQk0vEDMU
HchRdmslBo89vO/bsCjae5vw1Zbpv3wJTUXrj9Xa83eG0x+D6ECm6F3xFGi1j3na1xoGw3ndtyfB
78UP2eoGkV5Cp31+bus+tXaeFvCO9hP8ChEOGkVVVHVeT3VG1jYaA84eQ9WazA3xu20Qq7LhxFP7
qW/t0d0KjKL3eLYz6y7IFEa9zKW8AdlIYOwsSHJPdauPBLZiJiKZrYg06lka3WfAmD9AmTKNGeK8
iXxZ2/FDzWSp/05VE2fL2aAvk04cvBYrxYnAiNNpnw7jG0jxgKQt32UD1wHCpQnYZGsEzYK6afqb
tgWzbGv0TvfoD1fS6m6ntLMPAV6IW0mXFXVhc/GozbpL62E2vrDbrG4rTQez3E+e99DgY7ydgjrP
bnoU6rcCMt++S+fhEPS5q2GhkPmrCGLjVqOWcOWarXc9tkvckgmtfAtN2X3L4jRRPpS7GDSI1QUp
bBBL/pDZrM5QaYcfAW0/GO7JBGUPjaaoGULqrpdoTRRt3BLrwg9SDHWIuyXSAfT3Ao82cmQ+aMmO
yRPZcUaMIjsbWCF5KjDM0gqvfihDVYUUVQzFp+nK8kfvasPzoMyOKng78nzh5DXhG85D8SoeKQjT
yti6Av+mgZJNaYLWaOfKz0U1ynTPiMEWy+i9TzYePsdntwxxjySNN+6SKihNWjlSTLda3d9iaZIP
ellk5yKmjZHOzMB9BJrkfJ87VhBcRjwk3XwKnwVRlFtzNMJilU3ZeFVOgJYkaft9QF3pxggd44Qb
uj30tsmYlCqJwne6YSH9pBimt7JmOraetclGVfTm5nHEZHmhSgGOEvMPGgBFmM31Va7FTNwp7V2C
6ZwKGC/pRB86fZ6yDebi8ti0Y2duZ8tqnNs66bPnvAn50pVhaPWIu31gEW/0XER+PBEzXbpdG+D7
NrV6r0MeoqIllKK47R1TY0wlqIu9ZZaFUDFy4uoxsFr4VBprIUVUlFuFQJ+yMF1RswMxJ5b0p+2A
lTvhOS40AQSkGPpbwwzi8GhXs6Of8X3NdJsTspLrinChV44VNttEm7q7gHN+9RTA9Rtzh/JdTEUr
07P0TZFyy3u0mq8HQ/RXqWvI3dAq7wE/gLhN2LkQuQh47gu4x3uovdbec+ToowdD20gwplkzPWjS
beSuB3yNKkH5p68lzXzmOCzbVdFYMH0p2EAgo2V+4AvRYyeTgvDAiL6PWq1fmglXK6U3dzo3/Lpu
4mDTCk6zDR7YZxjK6kSaK3xMGsVMsWEGSBaME5rthFG4YXdT8AmX4wEzrqrOdMcBcLBs2lX2YvQk
H2vVMjqBPm63N4BB9GvZuNZVpkXWI1mNUe2yGMLHulxwZSt8JiL1K6xpB00G1uNk9DEf8zS54cab
uu5+tAgzH4xJ0t0FJfCDZY6HZVAPzrjqh8gK91msBxuD88drZeTeiblrdkO9zY1yjXGH44wAvIe6
UBezcy7rSvpF55zU7FAparYPoYhTg/hLgD/emV9ZMJL70DWzj6qr+p1KlaG2g6XBZ2xrUuEcZdQH
EVK2YKUTHMJMH/ZZn7NAVdi68MPHSNsbvbHsrbJcHfqRxUKwoz08DK5ASXq7phxMjwqfcb5O7Qa7
RDuV71UzvaN4UJzQGnHurUFXOwS0rMwLfGoDk2T1h8PZ/wMXR9fVn554frGhWkBC9BL95WCXmWox
QzT1kfha8vDXLwNxDxaEKVzXdH7htvZzXpRBoA2M9GuawZMwTAgSKipU/vw6C9f0v7inywFu+XwN
2H46J0L+8+cDnOFpZkuRfHeYu6J7TZYVXixcnlU4SdwSo5bGn7h/IlIgbW7Kf3N1c3m3fr28C8zO
9qTL6fbXl4k3im6aGuCHjTy/hRbS3psyF1t72Rz0Q5PdSmUpIrs2ZTJTSQEdu4lex7rL7sL+2mYw
x8yWjQcytrabxxsmquVBWAp3j47DlZDC3NJBoA1xhsWv5lFVunNA4WBEIZfjnf/8/fzXF8RJWCd6
xRsrTeH8wpGdLRuLYtlVhzlumoS+G1juiDUx/scOFgJrfEhdxuGvXtTShU6OTbIzRdL55TtZB1BH
eiRMLhrOZ8slW5y3tDqGR+J86vXPL/YzLHH5xnAxQ4debPCbbHuRBP5w5A89yyyWZrHDMMfaBjH3
Y0y1ba6P7b95Vf96p1l8LR0HLCMiBzGcny9k5g3QC4WlM6aPrb22jSpg4SSo1e3//BUZ//qhWYAv
OUWyTcT77v7yoUElsBMm0BkpW0Oc8Jt6ftCN0VIU5Fmdn5qwLHbejI+RJW9ortOhs+wb4okYR9jy
dV+7vwp2n9/WXTDvx6/9Yf21V/zzv+q/vCeGYfLVggJi8LY4C9b6pzdfs8O2xqVzSKNIdw+V7Nqb
cTHBXP7ydRAlHQcaNjoI4OifryNU1Kgw7DCjBRwG/Jo+8BiEABaOr+v8f1Hw34Q2TMFt9IeP5F+A
rjddkby+/SQL/v4jf+ebi9+ArtoAAy0gWsJebvnfyxpd6zcJwJzOFmG7ttCXj+7vuqBl/oZUx3PW
lc4vfHPvN8c2wf1DPnfFAmD9K2EN1Em+Hv/1WCee4ZLo5q7wTNvhn4Vd+9PXFCugQIUrdl3XN/va
SLvXIhYVaGSL8FKmEalT+gSbzC7xIslo5eRFeKhHmZDRLED081R4AofkfEC0wFJnu9qW3AoWmyEZ
T1paRJvZ1jiFOE5wtPMl3T3Or6KzMQ4APugA8YgxP2kavMyBpQdeIF1LlNZfrImNA71BT1QufSDe
r63eyY9pA7zRzDMWHUvHgK2qzl0z6ow3ceKSJ3NiOEiKU+vRmu3iqkqn+bow3PwdWI2+FuB236bY
JOiX2cN15U3a1rQ1oiYVLpYnU++ddU3uam1PXezXXpB+B5ycUabKVQMsIozk4mXIr5O0s6ns/mbn
zXDQitLyXWH0viry24oAICbAqD0mUAYOQy3HayqI5K5Ef8Ml0JTGiGt47G4ipjp70GnFqYSfCmW1
ccY1EHdQaXBo2CfmjI7H8T5OrPDSRPYA9w+Um5a7NyaNDo8tHPRPRX/icywG+zbXmX/BGvNuYtbi
9Vh/UeCC+B6cmXnwzOkpcXt1EzmxcW+lyjl0vNcn5Mb43EeyeBpotKauR7dooQh5iIRsnJVKXgeY
QpcIRtFA8AKFeVUyXLm3vSS/uFX0Gdh4pOjDACjXCfUM9ChYaygf72IOfoA4kbPveuO3yKz2aeQc
O7hyG1Baxm0vU7IGUDVvlmTwM3G86mxMlX2y8hrjSDdnHzbRTWamNeZxRvuEzMktXIq5kg0uMc95
r5xO4b4I80MzUjeSRvVwzHWYgAMW0z0MSNDvrMXUsWnmlZrcz6A+GeazlXBlHXzAPQfP8pg5ELnm
oHCBuyOvQM+dQk4pcOFm6MB5fsPYL714FNQhV8zTozlnBjYBBtuhXapvNF1Pl2xiGxvqvX6eTAUy
iv70NUmGwe+gYOJ4IIB1RVUNp198mc1ejzjddbQNM2sUlN/Z8tJ22OCUqYCPIRKvgRCNh5ab+QIY
7pEoDSgUDAzbmH7KbTPV7oOXav0WJGv2CgAEgYt8JO5UoQX4UkNjk9SiwXBFM81Ms/h6nDoYMZOu
fNGVOjpi3K3CeFJXuSinvak6d5cReMDH5F4XY73LLWKjRETAF8nA9p1Erp1WrBZ/424OoeDlCghT
QNfxxFDcLN+caNrRHxLDEMTcUXV6eltRkr2tFg9CCmIKLoS9FZgLdhwyi5M0dfmSQn9hr0BVCR3g
kN9FUb3YIn8r5pCGuebcFO47bF0YQUEq95VW29saOgoPn+U35rWETWMMGfDcu6Gx76QB/SrP6tYH
fzKB7wPSYA3YIYKY4+IYY510yksdz+NGtCZp5Q4qfymq7lvEkWWlG+m8q1MaJF2O0Gvq6Y2TjuR3
LDnsbLq2cj9bmQZbUQrrqu4sbibdNTYB+417yzV5V0ebFMdExV5DnnxdOiVh0zkrNtKYlsPBXI3f
wjyQB4sY7iZLia2bulseR5fQNNPUZteXyXRIS4dRp9E04tDM4Uw1VjDfyHB2tqFrNavACpcamIlN
ds2nPaXEcRyodSsDD+0u9RQ4usAtlwIie2d2DmYdW1hvVUI1GP93OaG9gQrLMdph9CyDb4zf5zWD
Shyd3tAfdTUWHJUGuSesXbwxNW9PQ2Tqa+ml+h03eQVtI8LomA1LufXI0OFRxKVL0mrKKqrjxo4+
LjtinE4+Rm6iWFrbpKcLdsRT8TF6+SMEbbWpoCtrGSE43gjkudL1WTCc577QbqkvhSjBKwfzhgpX
rOt+chg8SJE8k9CbKfeUCR7Ctt2WZSL9oM484nem42ysOmpWjddx/7eTs6bNL961haPfNG62SXVG
UVFIeQGZdchb7hl2D+QSurXWKR3hyVyivXryvpj78eSUrN1wJ+z2Hocbuexu+IAxne6HMjT8IOiv
oiK+TSxh+wSMx+0se4YpDfCvFnzNDuWt2lkOT3Daoub1iNFm0+Vz/4nL5jbq3UeY6a1H8NsS2CWr
6blKeGysQgo6nX0PgAhEpx2sdUhgcLNq7GfNvJpBlXyPM8+50wXeX347pd39PujDl5az9ZjFDxzj
Liak3RJmwDrPaE5rWhQOiNZwxccmOteanhzHMrUPbiJoO+OVf3Nyz3ppUCL8mJw4lKh4X7RBdR9m
Wr2bFPH5tdH3QCHzqKiex9kNT0pM7TWiWnUqqVz6zD2bYTY5IpZBmreyNC+2jSM8350b764RGObx
ZmzQQJ87kDdBAstySOaLkYdXdMGaLLMQxgNUWLwolArpmC94qI4GWb7F0opr6oxTfZ2PoGXMqDUY
n1mkEZNdbRjY/lRCax3OjdQHLXfAq42dXFZn05bhiv/rE3MgUwdRpLyLGc7Ceysc0EPlJ7GN4QcH
sOACrFBCnHTMk4O5p9j1Q9wKxo5D+zqzDH0msy79ClsEhsQIdPmEisXyhofjAZcPPgSOIbR/TGlu
rocsVrdTr7f+VDn1lUY9h++0i+Utxib0xKMn8VUVoN+oolkN5jTs4IMY/kwhnN9hH1xPBiYC2Hjj
IZfTnO/wb1MSRqT8oYoIJzZMzqTmdOB+pPY0xXiuqpItSqhXn1k1jg8VyjhYMFdsOztj9bas3LuV
dvk0uv1NSVncpiiiSxvXWwH5bwVF8BkF6LGec/zXRWrdGo5XbguvmLYse95VEeRRvJkAWz0nDvm1
km1F6KTvyGA7XPH7uSFjFbv7oR3oNAHuxczJzsHjpqS/NiFQqKxJwN9CCDZ0tS+xe0yafpfq0TsL
2tNQ9x+NY0OMHKAJhKHahjTAMKap+O6SkmPdZRcWRDTkCNdPxDxdVY2tr4Mmt3044OoSONE2c4IQ
3ONILSZsru4S6vAHmdENgB+bhLExHrgHHr/yPM0A2ldtr9kbtvAEEg12nXZ00cs0PuHs0fy4H6y9
mhv9ll3cdF8m2by1+8G5MSgLdvLkw2ZwzZfa7k4dH/RaZd2VgNxz1CImk43DlMyBMOHrxCiPgUmz
HJP5cW9pvb4mt/OaTKLCmp9l50FOLNGBYsrlonaoRox+OUfOmTZU44bttzpKtzf3FWGgowqSUw6e
+KXDNbbEn6Vv9nFE5dikDSuXtM5drWR17QWGQXq3fJVZwd/Xq6vNwOoDXVUclAbgD/XzWYn6FYSd
48cmlqkpVzvRYiwPdEP75sS5fC4Q/Tcx+efHwq79XFQhPL4p7tYZb90n/qt8w45S3A7TFK7HpNCp
nM7r5oh9PNu3Su05Woi9NbSCNzUPz4zfqxtXskiFCLvWUhReRa0642OsX0qyp3BDFMo1hkSNB8+S
MBtS/PmBqhd0ckDsJA/ga3savuLUA6pqO7uq74JHxhDqVmcCQhePCu5od7YAPYXVgT0YpTJmVnxj
IoilNx/woTnOdGdqOaPcuM0+SjDROxWL4odXVcFuZLC9looddOUm9hldjmznDMbmFQsWmdx+KVsz
BmmeSn2K78NwYZ1rQsVPxM9ZMjJY7WYXhIC9dGg/Vq5fDJyoQDtDC15b0xwCyvhwCRThd0g9RIlo
2vBx8uYftuq8CwZp52kyDKB67SBWwuqaF4+T/l2qkuy+HEbzONDzyJJHlw5vvSnWFSeBDXcMzPRm
WVypnGkSMJS1E7Fha/BiRoG915pxuLhkzNdiUAWMf8zENEu5mzkIPodiqLFdVRT6FNm06L1WsKUl
Vr4YYw1Kv8itO0oqms3YGrQNNBBwYTM7YDMd5ztHVrWZ89D7rNrA9D0OgIdognsqwji+9EYU7x2k
yXVrF+pYWp7OqmF7WzLW0lib8U2qDcUGS7a+kbFnHKFeM1ggd3Ux5/o61yP6mUenWfVumx/lnNLg
W5neoXUN6+wMdfqDF6o2gVe5J0JCjLUZsRDFyKYfTjC/tzlYaonQtq4GGfpGPSKIewb4mR7ZL8/Q
xoMovPRpys7R8K7MBZ8pQKszzHLib7GWTP4wZy+wtGc6ExJw7h3ZMWeGuKXn+ErMhsEkh3z8/cUn
brUdxBbvVLbetAlqZKqKBM4ThDbKeVyGT37EPednvSCprWBKdV1tnG22YGsFBuQxZAMfcJbrn0Kd
VmdN6ffJFAZbO9hSwLozmBMfg7y/TQbhu+HAw2ViS07XshYa0wVzqtq2IXEUaxqv4b+98fUcMdLn
yQVn9+w7EBx91ZLlGdC1d/VsWAWeyaIi3MYXNaMqsa0TcY0192VmABjy/NxQgakve4N4WyqNRoxK
A3NiT8Eealbm4xKob/sqi7E7NmrfN7CENSfJ96wUydHo8b6qPpfX3TzZuwaD6bpwwqvepTyEa+kI
oGNngKFDZCf2nQBzwKcA6X72zG+myebJlmtbMaQnOp2F67LSwKGnzj6CNiklec+wH845j0KM4trY
3zdOUrzkjPtpW4qM4J3Bxqyt0MiIceqRGvW13ie3eW1od6MNOzQ/1Ha/zPsjvWWb6fQkQ9PikrSJ
8Z0VsL5UWsYxN6r5iyewVSgQNAjYk3B77qw5eDLJv21Uz7ll1cY4n4HfjNOBUKuxI2/X7jB8iru6
GNPj1Iru4Eylc2eNtr3rerN+B6nv6bS9dvELbJz2fcyZJjZVxc3I7HXPW+NhrDBKdM9e7j1zmFaA
+iFRl03r8wvsZ87SA11gcX6PV9K+pK6JeYI61xlcT31t8ZneQqTjL4Nd8ik0h88qS+DixHN8jPTe
uJ4M/g1vk7dG6mX8KBwo4E2hGaCvhLHJka05cjBdmCbtTBqW4DMoh63LxgKynNJAABo4qk0i92zT
SRFc9Mpz791s1DYeFT1suMv8Ss/1jVnPYAhCCi7JksZ7/Fop4U8SO6BFH0aRvtbY/yle0VY0THxA
DEoOrmKeSvf3Wp9GVa2s8VvD4UdyD7uWMV0Rs/1ekmM6YkeOfi+c+5/WPf8X2RwNYdjSRPn7M1UT
CiTRTiomXuvoj9rmH374n01VhDxt3ZHScqW3NEv9Xd+U+m8ctxZZmoEHvo7lT/7he8TcCO5+GU14
rC1YHP/pezTc31wiTvgebYMfhYL1VwRO14OF85PAyTMayAW2R8n4mev9InDqQULIIOlHvqllZMKC
QFUcmoTOhAlPjUnwZGZPym3KjqMPlxi1i5cQy+BoAgBpRQtRwBPmuRgM5lFdyXOsC3J2K66b3adk
bx6cpcMtHMv+RuRFdKpzl5Bg7bj5rhlB8rtWlXIjNdEHCL0ZcyVONDgfEawl8nbZ0xwWGd0tWUH5
Ar0VPd5mQXJ2CKZbAfrRXNXzfdgRHZk1oht5J3Ev5c6GCoz6FEkcBaMkwL/Fj44FLhjDtl0D/taG
XWEO6hKXSxCcHLN+H+CUe8aTEt6XZgnFUDeTN4Uv7GrKVA4DnljiW1hiohojhpdt29Wvg4k50ANj
4EDbjbGSYEAqEyM1GfgHxc0Izvmapu9kw3OClJo50kBEjMvIaVaKrdpkm8+z2u5I487wWt9kLMd8
hSWJzvdWxulZRSJ9G4Q3o4iGmfcBRTh8hGfCpi9xvQD/tQtx3w/B+1MMQzDSI4my0i3QKEkSmseE
D2CNtGuvW5H0J8LwnIOKIAD9NcapPzcFp2O2pCXNDIrAoz2nls/UzL3qxJC8gsPMP3UY0t4OfQEr
tip6Doe6NzUACAzYEU7Dgs3D2OR96FtSP5hXMc1rVpmtTMD8V61k9R09ZKuoIXu4Ri4mAwJPmTA7
kpBATy6j5zzL7RDFGuXZariOMVnEobE0SY92ihbnAmELmq3LoGbTEHlBvM8ivfsgLDBEW8ssx30X
a96OvA+ShhmKaWNWHaqoa1ELtcGX3jy2tBfdYAy0z4HomoeoiMrXkEw+BTMt5rhTi3ZEXScxqneV
O9MLLVDstZ3YpWDIS+rqu9G1SH6zIWgLS6B03BskPW5s24AMN1eDd07SsrnJl0JtYtaRAQhvlDWm
pmJ8amwN5QJrovbZVYnj+NIw6mfSoPmbUKLcQQvlz6lIGx7I/EEiDNtcgvloCWzRskaqe0XCvzjh
Nl6JITMBwmKjWIWY7J48gfnfacsZiGax3Lcp0o6MtH5tVwIHH0IuNVSojigZ1GG/hdxcy48GOBDt
OiPipMcNlQJ2L+ShxxPFecrRYNfZ2ah/C9WkPwu+ctNGp8Zz5wU5H6AkeU915iSdlbQUe5RGrzlB
uoomqpnOZkQaDL2ZOb8M4biBT7kcKqz3ksFxvNYxS7457phjeDbs8WUE0uurLqJSEkXmYRy66hwx
YNmnzHqORZ4hDTrMy9ehS5OEmsbm29y4Nn3gDUhAU5KJxjlbHl19Zr8Im3aBzVTFNp0sJN5R4m6d
IuYT07wpiYSue44HkHuimjLRuljNphs8eSalmAUJQUxYqSdoe+sQUKe2rhRnqZwsybwY5pCFF2Vw
GPNysSyin5uRij9RxaPHmR6FEzQYGopUSyIUPrE5PGvcKMb2/7J3JkuSI9eS/ZfeIwUwAwzAojc+
e7h7zPMGEpmRgXmGYfr6Pogqvi7yNVtIkV61cMtiZGa4Y7CrV/VoLWRD7KYmN5TLJELEMjoYi7g9
ubXn3KlvEfvyaVfoBLtyjg66sYyqI6Lj8GDRWulrECfQ0idQ6scub9vX1nQXZn/xmeZ9ojdFw3O6
BzR8ivwU7zpOZQCaFOM+mZ1ILrMnqJnwo7F/sYOwOUuM7G9W7yI6Un45b7UwnJYLNoAHmbsAiNZ1
Pbu/WgDxhzDvfpl1bFcUVfXguzzhLMSsrP5kN+TiYm80iSFkqeESa2Jia0xTk7NprSRp0Ve0R1Ke
MZseDKcmpgwGPcJ4lYQLOtz0298T6CtKc0d83kTfeiwA+aHJm/oqYPd2k/NJwTionBmBccjSbi9a
2UYH8uqC9jo8k4cccZdoJj3fMbgFjmYrXNT0qM6+adOoZzb11zhM3pXZlZyb27bVK4+wzKWjG+Wh
MLjd2jmOxw16bf0GoJXu9Yq95F1XNeJ5YuXGTVen4myydHjCwl9jtUu8K4+yB8KgbscCz6tCeVN1
XnHDJsN9Ypey9P0iYNZrt+0zuZsqK106f/rL5HZqXiOFh8++pSnsHqn9/jJrNuUn/oWRhA/m0DcX
eZP31tGaBf4zE+2F+9bJD4EtsD01g6MeeTY15z7nLDng9ttRCuxuxkDQszsadGSxOgGSvwaBYO2M
uozPyRS4L9OSAsvKMb9JOVOvM8GB0R/K+JbeTJoSZ8u6JQtZAiqN6mcdmulT5ctqA/vgrcIu8thV
vX2bZpPY6DRB/XFy87E2S+M3qBnwXgSP9KYCRnFMqFpDTyWF9gigzb11y/ixLE3jNiinYJNOhVtD
LGG7havNYlNUQREbKBBm4vOxYm8pXoDK3PGx0R2GyAAwIfPG5UrIZPVBx0ywG7/piz0FCijBIBmj
Bc7YLZjGfgE2EpyMN8Y3xbFYgI6lytpzvkAeq0HF73HXvJFfnfegNkbgCIQ8XJXHH4GeyNFCtLr3
3KHYEx1fYGpRsasNoM9r0ILGthgIA0w6kozgLVrpxXXy/D2LemQQzxIjJbtZSrK7aAB6Z2HFw6WV
nn2k6Lh7rGcYWIXR0K+VmjS0tNDrc6otSPiVKamn1pZ7mwcQU3PePzq8WmBlZhLj6DCkxASoRtyW
5tB+zFYyXLxWBsmWJ0J0BKkQIej14sG0dXVraR+zYQcei3qBXj1IVlD1muI3VK9WQnTzRu96mvEW
nShNoyYHF2mGQOdmHxXrujc90Y6EgOB/NXVGVJprgB7Gkvw5PlDgBwP/S2MwFIe6yG7jccGFQT03
eX/nRAqaFoTTqrPL6UXMjg+sa6pu06qgK9RuCUJSJGjJD7xEptp0SRg9q28oGWvu0rgenSY62WEy
b1pnCIK9jFxMh0msp+HoB24LRGxK1EtvcEcWedzfu3B39l2aWze0skBC65yWKkRN0+ZBFRRvqTzr
3kK2O3fNNztNUM5wpWtzqUJIuVdxoiZnd5LTGWFt6NeGNPQdB9gBzuLCYIuQfoH4DX1HGyqhcPhl
Y/0iRVLd+m2SbkfVzNeeVugMvLbscePUDd9owwjJUJi7nxT1AYTtIjFdG31QXPlQF5EW/LGnb6Uj
14AQ/Wtm/LQWu/X00UUdSBGsliBKp6r/SXg5oRhDUvA5pJF/SPQ83PVpZ+k/fku8BcW6ojb7ze/d
R7nQ6YZ5cF64Oeknw35U3ZLJJ1Jf509Omt1ncEo240K383MwlJUkTAmZgIqkInf8kF0ocOVCCr74
IFD+CwEj3iBBhdNtjdkPbp4rPPmcqAB6rVUu/ldoPD0C6IXhJTu30FReMXQ6CUSd1vuF1QChLYUy
tB6x6lzjSIXbDj1yBK0zmdNVOcoeE7lvMfDCK4Nrq8JwOnQ4q34FWdjsg4KVzqowBg6XYUVXDKAi
z78u6nA+WLy5fhugrX7TcdKQfk1SilI0+4hmo3K+65XTw+bZi9KPn3q/FWRes+R1Noz53vTzQO76
qfR5t0X9s5XCLHHJPF3TvTjfzrHsfsvvl28TJMRNNLAnNj10cpIf/TmWXntxi6J6bAayQbiN1CrK
e/URlXE9blldR3ILVMzFC68mvepnIW+8lDZwE3AVXgaWzHzPmUM5j1nYaYognMzHsa9bHhp1CSki
08J5BSuGl1zXHeEjkwrfVW2a1S/bqDvWbU18KXVT3sX5UL80/hx9trXjH2hFsJ57a+kWGKcxPPq9
brudRbdlDCO4C48Ue8zGMSVOfxBuPJ7SRk4W8nXUvUcMyWwkm466zUjm1T5VpD2AXrfJmZEAZQLC
7oFlTw3zjE3U1nIizqET9Q0AEoqqookon+t1EjiztTZdg69OlS2hqYTOwJ5gdoZ/2ypvQX9R6pTJ
5XQjdbJ3zDY5eE4BnGYwLHEfcmUecEsXP8ngQWVjyu74GySqmral8WDqBiJpZjUv6VizHLYkrmyW
JBRVyoCdj9U6/Jdl/zAYojy15lSdSz9EmIlltLCdszL5yMusiQ6ii8MbUeb8CuBZXEpP7CS5037+
BbdZSW6XfD80WXJrkPYJYUPiGWhmeFZhNFpAcFjXPCZO4N9TpDdvbW+m4iObtErhC/QcSMjVtldt
DCR7o2bbhtTUsuFou9pcA7iLDUZTmmR4Kce5c2i6lq+GY7yZ+9OpR8S96ngjfcQUt6p1ES/yHz2b
LhFmCyvHJuo6drbC6Vi0Dh3Z27SlQhcTAvQkUltqSxlDdGoFjVJN2s+fOX6s3TyOebccI/Nq6+qo
8daUOsVHHxPm7zFMy0vYpDxJDMpS74BkmU+5s8wUHQmnDWIi3gbTs5obov/ynKsuOGASKg596gLe
0uwbyMTk4zPeYDAgQAjKo0EO5Z3l4ZLTVXO2xHBqcZQNVR4vsD+xufbugEn/P/a8f4mp/KeYRdr2
n3OVr6KPJo0+is//k5LFT/6pZBHGBavMEQr1ybSVh1T0h1PPkz9wXds2yidsIfcvVGXnh/Bcjx+w
OdzQDoK572/5XeuH7+IA9TF/emj0yv63dKx/cL7iDyRzK4XnmfxxNqnWf3AOI5wmdDYBeclZRTXr
DM4qTn3fktG21Y4mVOgE6oV3kkl7dqPiblvBZ+3X4dRgVeAIBzMgqOr+YTCJuaxcp3N2Hdzcizfq
5YkZdffQ6wtuNZq3EyYmzjNTFh9AwRQn/kH5Jrc5gQ4+wsllcrxhPKvSbE5VWBbxjcNY5NNZIKOY
VtLERQZzXbjrWLeze7vonIkhcJp4YrmzpNSD2m5/X7rRLIm+xoy/UMZ5hXm0DB9IyTj9IWWted9r
pz7UkwFkzBqLVweKnL/WgYUw0qY053ggd3iJSv3otsohZ2OQa1zBpgv2g8Pibm0MiuF5YG8Fw50c
6q6RNem1GFQVxepjEF/HncW8QGGEnVMpWs3mlUgDKJfBMAJt4AkQuAechdI82DOAXJY5duzCJhzU
uI6jwnhHzPKxxLEuO5cBD9qaoMS5FUimtDKXbgycg7mdeoGpK9ZUWjQK3adpmQX7wHulP1G/ZSJl
Ial0V/4WsyG/0N8wbBldVZ2pRp8uIzFk1goOC8CVbpdOMQcc5sEyxHBrzAZrINnkv2QeGYCAkyjM
tlM9GK9tbU/Ghp1yW+5tNsq3kIEDKtPskDr2ue2BsQRlnz2WkCQpL+rMjmrVWVULpc2zvlRFGSuK
hZW9zW7HIlAbRCxXAQjFfRw3ZFcpJqTHJnHTmdBNYPgnsHvVDsxJvxFNu4z8bHqjvmkOsivr+whq
Hw6L2EHZn5OcdCvm0W3q5NWHSRbqmoWM1GsOC4L1jpsCcO7Eli0H6P2RdWobe9AW54nuzQ7vJSFt
a9pFYTq+4NyYLiY9jIcWlO/zCJz0BXsiHBQ5e8PaMz3vNV8IShYtuoAFEU3sjmNpavnDTWJRwkmj
W4yaVKcXVsX+TvNn7VldtJvAYkKCFsXm1qZiF0FGbIcZ1D/h3fli6LBcNLvgyrJorBA5UNpCqoJX
fJQ/NxaKQunhjaL2jJQl+7jWr1iDnXrBbcCWPCYUxshz78M5PcYRv+mgMZjEXtyegGpjgGGX9FSF
LOaU1uMVy/JlHp/7dU1oE+vsBMDPym0+/1QE4a3lWPOdJJO7mchb3nCty30lEreC5eEUX95gd3d4
ksQm0Y71MIfD/Ixspw4Z+WB/NyS1SzfyWBXPGefTF4Ll1TNlFvqL92by7FrOUQ2ePtgpfzZFu/HA
crRTtxP9GW81KYC7gpz6x+ADG2WNiSdOxBQrFhHppXWSa4cBjGdKuhoTCX5VTvMmxOr/Mcykh1fY
BO0nIerwxu6zdMNZM/9J+Y1LPbdU70lkwMTN8XZsetBA99JzUb2q2DpC584+3TbwSZrXpsDGYjjT
TeIWTKr0VVRfIq4t4HTe8Agsev6K3GGoNh4koKe5Nt27KR+X0R0IHkwUTJtAFAZ+T17jkHA9603K
MDL2GryUs/GzLLjGXaVpcpDpfQAs9Df4ZHoqVD9S7eUXWbdqeTQfJIHEkFR2IL9wr3JSb30JibRN
hXrUfoF2qnU8r+fMCe+bPCw+QLVx9/ecK1elV2W3UGR7sSZES6WG5Y1nR1CyQ78sybER09gGo3lK
EisY0QcpOuGowUmomTiP2ILjox3YhFhN0KT0AjXK2oCpJQKLnllvsUloMhEyG0CPcJNUygHU7nWi
vYd9Wu/jkqQ0rgjdPiTwzbaKjM4Rtqw6SZUF9yE88LeAtsarwpyDd2NoH8wqH89JqMkVVuaU3PmN
SvNDOZDyRE8XKBsy1EdqZ3DLWMYksNpM8qxSr7tkmLURtah1ukmd0b+GumAKng8GtqYys+e7QbXh
cMA70z1wKM8eoz503kViDNu+hxpgeZF5J4tkuIptX53pUsuv8CLnzHc6wouYjv5NTinWoS9H5wph
1mD/o3v8MMTaiMV0baeMHae1GNqD8usLt4KgH6ot78I6CU+i69UVYkH+Mba1/4FMofc1OsLSMimb
T6vrXGSaWDz2VuzhdS/crVdHHg1fTfULRuXw4VcJwPhQOp23To2UgOjcUximpjgxVlhPkIms4otS
FJCgy2njwEzPtFZLY9oIp3Vo+RnLczKkksX78olOMoYDMeCi6nD3HqOoT+8MF5f9ujG9HPTcmPK+
9Sq/xrPM42VVW05uraKhHz4MCaCL8U0E9xFgia/FVK9vsP1HbLc8m8ArI3RxCcjZoNXG0x0FsXAb
/aZt7orSJbbXwkJE/0hcGHv4p86MkDUvr16l1207shGOcFRH2MOgW8hEfLpIJS1Qeg3MN5AyPvnO
NCwNNL0JPS6Ln3lnp/G6iSvIYy4c5ffCMZxTRnnenhya/+SDJltbbvPNKEmoXU+FNk5ZHMzmMab1
51EWNaZY5sbkNNeGaZ+iYpIvZWXioUJmOZLhJtHgtEV51bdDfepwqt4DbBBXth+lO+h8xtryQvw9
5TzczkXLB+Lz0F1hauxeHL8uvyJsHy/mgHU5Y1mDKddjOpi94t4PavvsNlKwHVeteulEE2kIhJLj
kBPaxCfZrKhLHEUx5LY6fSl9S104sNX2PqgLjfjS+tmZGKj3Rm5ppDNXvZo2XI9JAfgThs3lHNrz
BvOWvaSjcWai9IwrNEui+wWiCi7SThfbKvOpuEL4eCtCrACCRyeJOtFUJx/ZcBvRrm6u0lmMBzFm
0RV+XdABk+FtBWwubHXGjuIC/MFGAlOcGBwAQIFnBQLSAj6SbvrmLQVNy2DqHZrA9EhoaEybtWX2
vwOn9bd6JAPPwWhrVjGEDtkSJam8wzBw+esudU5W5z1iGCEq6vcsl/rqpbGzZg/pYqmX7j2eWBC/
TWgjLYgabB7ZQ8xl8oJbAwpa0M8H1n24Fi1pxfdi9vvxiiWAn6yJ8XU000thv/ptN/2swGHFq4mn
eocDCDcar5+g1WxuqoCuhoiDjhlmgOr5mkltBxpfUaur7C2u1cCH6CPcTILX555qEQvXhyaj8C3o
+ou2C4TNgPkQP2aL7hsuCnD8LQaXiy6sbdyP1rdYTEul8btaFGQsdfKQLKpyUobNLjQh1WdxLx8H
0AB85DuMvljqW+fSEuM45+ZA8RwxiNXom2z5ighjvkXABvt9eNt6XbUxlHXt5rF1TcY4WNWNOdzB
pYjP6SKHp9/KeGfxjsXOuijmbj24m36R0fUiqFvwxM6EFIZ0a7SL7J6zhrw0M4dFcuqOeoZtjEQ/
f8v1An+4OtUcEBHMG0B7GFfC55pnHW+wybmv3EEkhHk4Je6susgwfxueD5pl2RTQ8udf4w2MbsPv
RQKrk0nyEBvnK2/ZNLRUyTx5VHidVeayiCDYop5bVTp3POwse5XXZvTGDWzuJBZ6jtDf64xlsQFP
NCTh47B44t+J42ymw0WwEvjyVZ930NFClzIwzpvHYshZnQBeYI1iuxSuHapluyK/Fy15VsmCp+Zk
GRvdOgCnYbvWjO8muuG6I47PCptC3q3rSdA2DYGmD9j17QMVJTNpZs7smwqB4YY6G/1GpyaB+5pU
xEV7LokoT3VrsKgccSa7X5LiKntrKQLuWEeTCb9pi4jIja5rynOdCIQUtaZBwH6sH4mQw/wB2kSV
u81Jk0sZo7fwXwJXM+j0buCTSELJgyOj68V3mtkGUfNiov6bMtGXtiWHuO+U6Z38aaD9IBFh/FQa
Xj7dQXOcNPldyrvbBnr4vsJ8Pu0Cs3Op1XM9aP0Z+8roppM2I0eWlewHvciaeellPlkkb7rnnqHm
WOaUDncR/H+q1vMTRR+HRufFafTwlfNYcu5VyesgTgJ/AVp3D+OUtimnqfllmGnuYG0Xjy2PXzIX
TbT0+PJImtV/JJLf/5JEYpJEde3/a4hxvagj8X8z+/zXT/5XlhEBQvj2f1NIXPUDkIMw4df8g0Qi
zR+YcnD6kC2UhB1tUo5/SiT8Jwqx6KRSJFgtgrLq35FIrMXJ8/dRRmxDyCOQzohY4/n5+yijjhRr
3TyZ9mpo6ieqrd1X8AjhxRMBZHlIpeMbi9afQWo1v5kpivdBt9NaAcXWW7sdyi3E7mYLytV/bSzW
wD27s40FuvPTyUL98h+97l+5GKUvsIH9c6mO3NBH81eZ7o8f+FOh835Ik22ISZQKx/X3tfRXhQ47
jRKSZCxms//tNXN/UNrtKlwIPiqs8pHv/qbR2T/4CeXBJTEdEHum/+9cgFy2/3AFEljzpGVZtrPw
GUyH3/SvYdq6Z/9a+DkzN61Xj9RfzRsk4oJ0F2GEHtrUvq/ztwhCKbq257GJz3PiKRwGEXeWE2Gx
HA6j0k5fMDLGbGdmdbH8wg2OI+VQ/opFLKfLuFGKjeNyrBqKjEK0NFoQcMvBNPUnBVeWw6ovVfk1
l273EhHVAdohSeYr1xhvzeWo6y+HXlSUdDcsB+Gx6cU9mav6ZC/HZEh2HB596jhD+gd4FWFbfgEP
LexTtRyz4YNy4o5ZqD9CmOMcTi7fICnHXwTSn7zeOmIgWHOuCJ7GMqn3+XKkV8vhvv4+5yeGx5m/
pnvgOcAA8BR8zwRahvzZEuzoWmYJrcuAdMSnv6TZ8cwzVjTLgOEso8YsksZeJcsAwj3PLNIsY0n+
PaHQVdbcGVWZ+jSwMML4yzADO6m4QE5mwjG/px1Ytkw+4TIE4d037ulTYTJirBhgrHzPSwYtr6vW
mOrr6Huiqr+nq+B70gqXoYvc54RUwCCmv2cy2sLYMC6DGqnk8iyX4S2xrHBGOzXlLnfhxxDHY84b
Efm+Jz8VOUyBRWY3B3DqzIalb2pvPXYm326kfeaK2cvj9xYjwXFapsupM6td61rug1Oa7q5fptCp
y+KYTwNclmZG+FWl1vBmLZPr0md2gvJV3tE4Lp4Gu2guqZMmDikKk6y2A8TU2JLXYyBmFxRStZIo
Qro4zA4UXPk08RXVtnboU1o7JcMIdEWXgjTmbafrIP4hs57kMo1bSjvveYSeSDln98A5JhoOpUhM
ijmWYR5TzTLYLzO+uUz7lVqGaOoCuovTeHj4a1ccCZ0gEVDZq4/6WzgoFg3B+5YTsFond/G3yJBy
9D8HCA/5okD4ixZhpKgSbpOrEyQrLD2iEXxMpeVfN5oPauW4hYfU0YOiWxfgI1vw48CtVmzsYC5Z
wQA10mtneWzRWilhUajX8dQ390YJPNabku0iF2ycqn6vqjzYBKqkO4AEDOdgulcbv7wyR034XQfl
xpnsmw6jIjhqf4f7m/6dxn4JCE/lWrQkFlGBodtGZ9v0hs8sr39ZRlNf56p5qJvqy4/bgFkZWdLX
3QpKPpBb4uo5/DLXIZdiJQqdTihKu9lV3dC/xVyOl3ZUu0GIFK8Z+2hw1SP2krLF/2FiySEsp50r
dv/rwZQo7jZVBhyZu/zssX3Ychv2T+yqiouBSQLNSZb7zO60vusU1BL0i6zB9G4a5MjAHnvvGm2c
mljahXou1zD6lRY8Ezc8TQTNXeZMtwkepCjaS82Hw8IhIyBZsDdQO37IMVelDDEwEL3Txnkgbhet
B89NP0EY6p22EkQZlThcFt24t3JiYWZvE7ANa9LcDYMHTXRs3EKYAnSmBsGTy0e71h0e/oE6lJ1H
W2uzSaOluhcTKqpX0undBNLq0jmx+eAxl7x7FlR0POtNf8qFKEnlBultILxgZyZl/EU1akDJe+rg
dZs7c9pBfB+3sTQGPG14FleF7HEN2Zl5qFPMoKy+0/iwNJDvNBBzfG6tKy6AMckgpH588OsQT6Qg
ARg0U7OpgyHc5ZBEtxlDz4PJhvfVyDS1uzkAoQ26rbtv2YdzP4TtbZKYS+FsZeuf4VhkWyn8wxwy
VKcpeV4zzV4bEbanMMQqigvhQVc9nOfCS++nGFFV0UFwI0hH7j38l7d1ca5i2pb7fro1uzjeCDJB
T4Bf+11bDQUGX1DexzmtjGuzLczqJLmabgaY2WfSfgnauSajYw/ZG9uP7s010vS5jnV54WNO7/J0
tt87ggOkaRpzpD0z64ObMNLTOeonxggRzi0idCe3g9ehKbEwvkS43ChGoet3a/sa4vRMCfPcY3bD
mXwCy+ChHyMlP8xDmu0ySpMfghm9ZR2AqH/x/FFup2rsbhja5JWb5QwQ+J6rdauS5BOVUR+tXi/5
VcOJH8gucJUtf7cbx/K2K2KxC8kIHYRVqV+swzhGBujuWy+nNVAWGdV7mTUu3hhZGGe3DfH3skjZ
kxDcV1VTU3fJtplqyOE+8luiyp3BSOV5RGn9eQr3xKGrdRwE2YtR6BmzrifOM4ZgKs/cWlxVdlBT
vRNJ64hn95MaC6oprCElVe/V6ZbRqHpiA5/R/s3Ro9j4deOex8pLLsJrJ9yGPFudKP+QbRFzGadw
reliuEEkkjR5zQE+vnzw03fkwJglEROnsZ3CorzDjG9BCKrj+RF3rhDA43J9ZbJCfG7rtH8aE+uz
0SXGWPbxxsoNM3lDP13429VduCtURCX1tPCoJ6oN7JU9+ETrMymek8YdHl0eNR8BVggeuqJPoJun
WEAA0zvVkzsl2e9MgmfTuKk3REshcOad9RYlQigavmp508F32448REeC5FuvdJKruXL6Vz8If1IQ
d+DW8k615+MPE5gAeoOC8tp6MGe+5ykph6upDq7BZtZUxdQJtS7DfCySahIPacNNctAMp6exSNRD
X+A8w8u59ID6VNFGCYcOZ05bYvP5NZBAvqhJNEdRGc6+TniZorkYySaLFza3I4Y7xICW857JqzWX
/q7infIEmTTbWXNT4iy1mtuMioSntEIvwINL/0ZWEIJpMxvkomM8eqO7HW2S040pvLuhdfLrZiBs
CdYhebEmZPO+yfW26Yvqk1KSdE8ssoClih9hdAv/Vcl8ugksVX72rRh3QzsPOEyUmh7YWRLDpPJh
V4n2QBFAdI5KPe3SPqopBGnn02iV6sudDWtdBc5NJZqYhCmve4qbrJ+s3PqS8Z1Jaj32raRIrjfi
U5ZDs+IkmY5fQWAO53lKwIaMuaGuJ9XwIMGG85PYDhszoyXdEBjdfsiH+FZNqNQWjoud21npjl6s
6sIWFWNWTBmZFdgwN9vxM6eP5Dau6mvtye5gmewAkWg4DnQ41l300XMNe56O9+HMoZP+Ur+wb7Je
ZIeg4rGOT8/eVTLdm258nrroJ8TKz8ryb9wwbHd5SUSfOzh278uqquhBqqhyj2rjxDORRkfMaNEj
2hMQYfrXCkzdg044Rvj1fHJVN6BGdca9Z1Km9DZUs+dSzduOe1dVPt89m4svDlml3iOOWM+8pGoi
pZ3123WGsL6a8xrVv/FS/5PCd+zTM/aQ95Zo8YOfOe7GnvV8MVvjkloJ8hqm/ysSVaBWzTY9037q
c5rTSU61QUKKFxYBTpmhceQjnszwkJPp5EhJdH7okpN0KnXNE4GKrTrMz4osRbPKQxm/VvzEWeQE
09ecM+frpvOmlAVO7b5lnKwfykY0Z+5XMF4W8tWuqaf+LqWAfKDxRHkXLJyduaLCdBbbgBMu8Ghm
a/L6RfZAikCQQR2q8K1Io/ws23Q2WVUK51qWnFDStGY/xmGVgEsEXuU2FR2JsDZv8U7hiGQ3ltbN
0rlJKZ5BN2FFTxS271NTVR0Af9M2rkKXIwbK3LGkr+gaXLDKNl2bX0Sv3DsvNG3UU1eyrafsL//0
ptj6GVbauyg/dd90ZOkj6GQDXid4xHKdU6oerYMCnhi9Zx4dFzSLgLAtK4tY6Tx4j2TUERLor5m2
I5A8gtalt7NrZ4+ZKNuosmroQot8az0laNw8tT5IFncrX+hyE3l2tGelkQMhoUJahLeidr5qSGSH
oCiN45gE7TrNjaNZRQfbia+x+0KGUFW+yQCQPLB7wJRrNvE+AOOArTyQi9F1bywjhusCzKRQkrb2
XVFyNuRfcqVY+JogWjdxaByEwljMF0GpkOKVE2c+lIIyevEb2ClDFD6i3rGay8Ing2MHprh+2DVJ
d8N0XqzLwbvAVas3pDsOMsZ+xTDyE7zoOXWSTRE75CJ94nrknt7RYckAMZpBWxSbTrtqMw/ElNMy
6o6kQQB3DBjJoJXO9C/khHFg4KxTG8hS3FO4QzlICTmh2eWZ2JjZ+AHYdtPq6NCBR9+A1L6ZtZve
DpJ8gorM+cK9Z+/xdrIRHXxrNQwTojlzk7xKija8DyrInXZQOeuw7vW2NklJsTZVzQq6j9zNeZty
KDWmfj9aTgB3lzTX2qMRQq4NX3v1ys265oytkaWIzvh8vSZz9+loAEKVdn+wDbIV2hL6tU2KClZJ
xDJrlXQK3we2Z3JPou/vMpMqjq0KK/8ZJNH40ckwOFFKMWCCQ/LmQOPgBKl0uGV5zT7D+t5tmMua
g7j9mG9p354XK+K44sVBZoU60YfODKslm0DqeG+kWXtFmI49Su+B2zGX5Yptd1Qfcima7F26ZQHD
Awb+67KUGbP6Y17WNCw8YA6wufGXFQ61pf1v8cdeZ1nxhMuyhxlr2fuY7EcmYGbwXpa9UNkE/Tt3
FmXPTgVfO8+jfY5xbz8uSyVnWS+JyA+vkmXl1HmoBIt47G/pj6xO1vd2Kl8WVQAkiFUvyyuiDuyx
6ON0n7zv7Vb4vemihzT9A1j4/zrU+f9dwwX8uYUy98/lt9Pv5iMDM/mHsHz8/J//488f+VMAdn9I
30JmtVC6PIV2+zeLnGsDs5Oow8pyhLT/apKzxA8Xj6SLbIwrA/0N2exPAc77gbpFPMu3BH/WIt/9
OwKcUP9Is0OXVoh/JkI0QCOJ5+7vBDhfI0SkBJRoz+621LnxhifHRcMPAog+FwnNvYGpxUnJuTzQ
5dYdy7yhdIuofnWJUqN7sQeb4t6C49+rqgihrE2zKI/Zcqpa+V4KoK7mxLsLnd67MaNuCZQpNcRn
2APlL3t29Alild9caVOBB9NlrHscGUGLu2gm68j9zemdjvgKzHqCh2MTwef5LCqHal2vR3LceDLB
+9xlyy526sexANqbuk/YKjDhF1aEFQQE0Glu60ZfYX5QL8QtBBshANgt9eg38MvhM/Uzp3VVEKzv
LY9mxTiN0AS8TOMBh3J13RYDzWSZYULI6m1yp1eiCSJzOzQBhcJqishYFAM9FSmTa7apJ1aDZDSX
jPeAQFvQqQGe/SZyKefaOhFQ2nWZ29jX23rIhhsWcG57FsqmBUvgRYHQBW4Ic35ijZjF3LAx13GS
V181h8QzC/243ZrU555L8jvOoWTpZa8VWnDESJFMDwMuEgnXDPjGruvGrMMf3CW0OfgG9j01VOmv
1CBddZwsnZVL+yJ/gR0q73XJ/t2kRoA5rHDtR9NLekb0YLompuPfCnSfbmnOasZt25rlk5ASIyL2
tDGAt8N7tGpGkwwrRVzPZpW6dynWq18mq614S2rNydEYRz4aj3JwaswTlW3ZJosXinr0ixc6dr8b
Mrv1cKHlpmb56NLFRuf0A3VxjPaJB2FvVXUWAGFKXaNpmWZHjgv8DdCCTLbdWkt5n+C+PDhhHd8B
u6G/rUcD+kW7Ky+ymsSFu059MSwVldGJ8j2IhdpSv212h8v054C9CHr6aA9tMPtHIhDQLGonFhQ/
uYPF/89S77WrJV1oypTpepj9nKgrfZo2+jDhlsNE4TGkMR0H5kYrDGeQTLT7VhchWT8TteyqRe1J
N3bFkLYCPkMNmFk1+ktZ8wgNcnYKwnwLB2edV+mAjdur9Q6Z3KMeXRbBXd5DPFuoG8MuHfnFVkPk
wyJh9KgQeAQv4Rrj9qeOmV6OXm7gKwuoS9uoLCkLtRqgjfFqk13+8L/YO5PluJH2at+Kw2ujA5mY
HbYXNVexSBZHUdwgSFHEPA8J4Or/J9n9hbvbX/u3F144wkuFWi2RLCDzPe85zwmCxN903uBTwjrm
hTRosbPxr9XsoXMc2NtyaBV6GCpkfWXKJuDjiAVu9lR6MDszfSY4be4p71i2XmIv5yjo8qs5piC1
mWTYrJNMeVhgUcfFHXXV1XOrENIYiw7CGaHqB1Zfpyc7KMqHKE63fd5xu6CDoluOZP4YbRgMrhF5
oQISp2NuAtQbE2oOqcp+t7piOctRjOSCGTyHk0EKc35mudYYYKXBSREjnqEk7EZgti3msJHi91WR
Zsl7aDTxvRpKXUCoMH6Re6JSRs15udwmdBLOa8EjM+wCJgJzAwZlokoZ9YYyXhJpw3KLSWvG1Eit
yHM/9x7GIYu9xG5gKGWSdGI5eAcGAV7zVFrGvrGKMsy09DU0b9VUk7HyU1Jt2QYKOwM3T9K6dgYb
R53DV7v6J6cOZnOoh2bLBqS+dHLs96Kus93/rdb+K6s1wQ6BA/GvD/dDUrz9iN/yf7i0bx8/uz9y
HX79w78d88EvpibMegg+trbC//sx7/wCfxmTvEnNFUe6/p2/MWstjXvACO25uGtQaP7dC8+i1/KY
CNk5CQdT/H/zmP/yuv9x0ytxtpsOXn1pCWn/adMraZOF4tP7e5L+5YY869zgr6Q7pGZZ88PurXab
mnHwrBrH37swlVaFHfYbHvDwKN1GfpgkvXCYd/SKsBXDEFPs7aJPX/M283YVFmhksD5rfmB5YQ3W
Nd06V3N0YzDh3/tBbOyqgRcfpSB9+xGU4byf4s67RxlK1JZ7sk2ci8NwVdpuvKNqZjcHwzXB/PzK
NgOxGZTbHyltPzJ4QtwSpblL6uDWpNrtUAfR8OJGTfCRGe6A2Teewz2Qx2FnlYLyizzNpw/tOHod
nHA4wa6QG8ed+v3SVTF8pYC+JmliWZ6aAWxCfh3MiX/LakttZwKsHKym4DAfeGM2tnnA47lclJvF
2yCdYvh81O3sYVGkcAbDpH4al6r6iTfSve5Nwzo1/vAIDS1g+9j5F8trbEEeh0ov6VahtfKTqqvh
LtFAvw1jGmnJBabj3p9n7CGVzF465LGT5U/9qcwkSJ5ivA6zJCF/5XY7uKbdQ17X8RH0r7c2mBgc
/YZJ3oH2GN/wNyP1JZ19jrD9v9fTSIXi1DnG5zi7/XUx++NLlcrimh84X6dDjxQGu3XkmPaNcsKu
3ABbrtYIcvmW0eZzspEhXI3cWeUoPqcm0wUKufUDiaoAYZP7wy6xULz4wNt8owyO7EKmCM/MmrE/
mC8UF8KNd+ELBA4wpxr149qK4+5Al0WzUVbAlx5Jj0qA3lmNo4N7PVJWeuUY4bPfLmoDNq14tE08
w2PHQqpfYuv7NNcE5KRPAs/2ittEpynWrWbvuvAnVq1UxcYLu62C8LORym23hRP/RAQOQxoeaudG
iDE9Uqq14odunmsqi8+qWoIPFkfR0zQKBEWm5+d5kjnXx9B9xFTVmKASg+bsjwYZ5dqUd11j4TYz
AsNG2LBbSgXaof7o7O42sGkhF0NU7wA9yJvFmosdGKqJJWlOu7Ur+dQmJAeeci+QzWaipGBnFHzP
glSYG6Mth9fFiasrwKD1/VCwPlwYSHezwsVsTSj1drdyobTs69nznrMac3VWOJibDRaZ7ZxulJPF
e6Ib5ZPAtX4T89XRd82OgBCiEjH3oTS66SszuliLsDVpRQuWjNTRCryZue8srh+4vOb1MKdi7dFf
8gOeWBcwAhvNgfwmjNmJGXZqs8syVD86MZ3IgZAmMdUGc7WxaysFj8iqDz4a1Zp87yPC4QZ8izzW
iMl0OMWusfndu/ry6+vtH8qhuFRJ2Xf/+o/Wn0k2uB5IjfCeFg4TE4ycPw43oZd6qup4HSRtBCJ6
hC2L+laDcOTjWNbnKa+AThYU3XXlSz4xQGyrpm1voMsx50dhCesZ5/EnEEdoCnGZXwUjROs1hTLZ
mWad8gV4RMtqWSUWgkNsF9seMldIYfmS3Qdfz3P29WxDoLTsY8lzAZ9WvxeUM9Otp0bLhuCGA+31
P//SPW0S+oO3R7DNsjX5H5iPy+Hzpzf+bPS26WeRuRdOhESKI7LIrAfDn17J2aQrQfP52iEhjRWX
2QImg0UF2TgxB7FPLT3ifU4rAAoTR6IQG+YmpFi1abkv/8ysIXqMC2BdWCQP9pQfG2uBvyyH9tUn
TFqB/NrTVniSxAHWWZb8aJoJ3Mciiss0+O0RW0mzoUpoOAWii0+yKQrArdnINafNrGMJt8oFCWL2
W76Pch2qLN2MVL3unWAqLlzAg1fqZcpX7nbMCm5evku65m7wSTY3pILjXaxEsa965b1QdRQe3QI0
+6wj4fzS27XLkLyk5MBO06jwCQc9NnTwXXsoI8u+chUar6/mYxSzquWe3Ie7qJfRw0wVCm5vyIBr
/tk0hKdZvMvsQOwZe91dxiG7zS269DiDWMm1Xdg+95J67sgK6mcSHMGmyUv7E+ZdtEn6LNMwV2gk
tZNe1Tim3DWAEefZ6B15S2e98WB1xGkR/XHcLjAffjZYZJ9d1uvPjleVlxi+48XPHPDDmoxoCTs+
h43ZHuRoc3H2Nz2Q8g1wTDCbfjf1K28Q051USt1NqshuRqXd1HEO7Te2wQURS2XEnpv2YZDUDTHF
AESrhHy3UQsfq9CuAqhLT5DWKbzvF0fhOuyI3xamxo/hljkvbR/vodlNVyVFS+fCx9jhoyacPQc2
/arFDrprBdCJVVSAADHbsT57tQpvO0PVd66nPER/QcLbKZBhHRaH27aldS9gTXwZVFxdu9h6NnFX
UpIWWfWJ2HhwB7RNHvMGhJHyjnSU4Wwpb2dJaRn5aWbrgtZCImGda8A38MjqcUysZ15VnX5nReRI
dqF+j1mRiO+KxTA+ff2GG/W7LicuVKkWFDfKNEVKubNfvl6MgB54SfKmsDeDfnO2+h3qw+SlCzmR
Cy8CsHhrHJ8BcEHevJN+B7fSnk6lqnjn1rKZXyAq+zvQdLzRBXGv0Wuqq8UUw6ujmDcqutk2mQEU
qvg6GFJ9Rnj6tBC5wCGR6TOkoeHDOHigXJJ1/3UEmUEdRzhi515tMtF4j7NZObddndshXBHOtaSN
rX7lVyJz9h1p+BP8fpwf+pwcWvAK7PE4Qcs68t8VZCKOCj7TMDhlUl8BTx95h/YFMNqQOqwwpqR+
034d6YvJUiWaMcCy3kvGnWBnQ86m40fkfd0aZn2BMLhJLPpKQdUDlwtcAOm6HDxnE+t7h8n1MQzi
hlFa70nhe/jb0BimK9Lc9QYRfjqGDs6bviwKtsh1vBlZ6RzTYaCZefChFjAI2usSDgiO/zzLrh3Z
pUfSdNSgRoWEWu7aNz3r8/tyFlAbW9BEOxm3wc9mqeVlypXzg1z2eEm6OXkyWAE+hMCzOkj1gwdJ
JDY2BnrPhLRvJ7cueTh8I6Thb1zDGg6tQSCOOx0rSUXCWZfNSedSzHV8qsO6gFg/MnvWymvf2Ri8
mC6Z+AAxPQb4azo7OOcC8NMYP3oRXzjrQ3kEpxEpVCB3pKbUJ8JWd8A2gHoZF2fBPO+5k/1QpJV7
oWfLWQOn4vNRJNUj9BQc3CRO86NlJGm/KUhfUmc4+ikHbw2NNpjS7tqtKZd1RxUcuFia7xNz7Q+r
KjWYAm8GS2EetB2JBPwnros9fBWxk/pGQbyzp1mRp5iGouTkuXV2pVrfOAXNqA5FOk0nYC/uV/cV
LM/GjXAiGSZYVP+yQG56xB3Daqcy8j34MZCKi+gmvmm+exfPMntNLReGlnYhrohq9u/oh9FrPfSI
XhAUt0GVQQBxw3e4B/R8sSXb9kXpXsk64MNPDCXnKDeTO11djukkrzo429wCV2p27UvClxFST7l2
XFbcVe3qOtmfpjSMCf9PQqUiFwAs6nhaCDr1zdaxpPlSdZl9GuduuHYsNnqR8IatojeQP+wtR08S
a8Ne6DdbZN9p2zIDrPLAPUEc+sRJ8D5PFeWNIK4YkEB2H73W8XnaWfityhROLTvwec+bh4t1mJnP
1NKz866KZzKR8sVuxHAYh7z+phwn/UYCp/2JfxEZhZ63w9gvr3iJnkmboSemqeMeHbu6li5hzcBj
qddNENunyd1mtBBrbA7y7tYcp8BaD0HlmiwJ7fqI755zN8ycU2Dl1gFVNN2KFvBZYvA5NRdbXk3K
AOYTu+EPFt72HrkwVWuv0tf6BYg9DWYs1cDhfQywc/cE+UEO4wI4J22RXOEiiOaroTSqe9cY5WPM
/EImuJr6n2NWc120ss4/lw3QLZhPVvpQ1mTZWPZAzk6LrNjB/Kn3bWWRK0xrekyN0IExj3rs8n8d
kzfyITZx27ol1FAWPD8dX/uYh0c1UL9ChW6/9vlCZzbzBsWwjCO3mQs4qsQetVVB3uFDXSYGJ4s1
j5HNxykI5D7R5G4I5h6RWI3zDhfI3mD+Z7yAVrWzxOC9gvwSe5DS6QpcVoYqmM88te1suoyhdL2u
6qo7pnn3PQiH68UzP7V+sR1FKN760fBugybkeKwfu8wDeweqvbuXUTvDlkiS5SO1CL9asf9c9CWX
6oGzfdHgczW2au+bTbeaY2vamxqQnky5+Qx3r8EzpQHqTTu2vJLGfkPOkd5ML4S0zlHC5xuCYv+I
PLE8uvVQ1+vM9Ic1VWpn9sag2nGV5pe8rOQ1PgGsHmHkXlt2JO+GL8a7/cV7hw1gPODutS6g5tSn
nb2H3bIpFUUW2rMUu7c0JdqHNsm4FhnldeGDTDMbd9N2eeixdE/3bjLAIJpA1DsaIV44HzNrrHQX
fHHt8SbSlhF4YlOP4bnX+HsuhFe9pETXHKC4vlbL/UwZgbTh2zelTD9TJ7rJNEvfb2vzznPC5juf
Lw4vTd9XmsNPWrd+Mb/g/LTTGM7a4JzdBzzR3xenU08AaK3voZk539wU/18PgOnY6QoAToKY2A21
ACw8BBnuHCS8Lg0ArniEAIzhyku81UAD7V2S1u79rMsHwKAsK0OXrhCFoWY7ddH4Svp9D77f0pBd
9970MvDKW9dlJaw1RX/xgSxcccxBwWxt3YWwGMH0IHU/goNsv59xxuwmoGMHm8pBTOLcZOc8nLdj
IqjI6R14s7ReuzYMSjO8OHlZH+1mmHZRDnY3kyJ+anXPw4iLAC/m0LAPb4NDlOcxQfsE5AvCNWEX
pyCwpusjRlwEL4R0tFFrouylTIr7iO5KdjOVsexGfeD61MvuhcieclBBp8zuhj0+BC5kWUyrB9D/
amO79iP20267DHXFxhkj7arTHRjsP3UdRg6AYM2OmScwK01e2EsLeskdeLL4p1TrPij4E2MPomQO
S+t5LhOIcjZgOvKH1iHOeEOExGs2pFRnHpWkOJQS40RfkgsmuJ4Sv8e+slGqUesoc0B2ZeGVFGF4
XQpgDkH87iDMUHdzjMDKiziETxqSM81wy4EMe4HCiMuObvht7izzCYWv3HB9uGcuX8sgV3xviylb
USpTsCCT8C3V6LGpMpZtMjkQDWVCZhwnSw6M1PH4FoSCyqNKfCzDCEtVduVnDEuBFQ1daL4F5b4x
QgHDNwRoWIJS/pB5lX0vE3ZESOPkUm1jpGqAi/aFWaW/shM6DzEyoCw5bgePybBHQllJ/b3A8LSW
dV5dYeRNmf/q9FBjZz/AB833bGyac2mV3aEjqF5PgFwmyF8raQfLbvFSsecJs556xrVLb2CuKUev
3SYF2kccmCthYpnr0+yqks5p6g6zz/dzKIPvHT69lITvvSzHYJ8qL32mWNQ+QrvPz17S+QMypHMM
VXoh3a6GX1NMP6Z/jn5Wf0cGkH9vFIav5UvhmYE0gz8BbVVayjC0LX9vzHO3xfjk/mijkXr2xin9
gKQu86+VTxGtnyXuqDbDUbGJ49q4y1U2v7veUrcYTp14SwB5oaNb65VoOha7UrznYi1iAm6r8kvh
ZIvpVCt/QiCcK9c/JXjA61XHhGis/0dU+/+FnGV+QH+tyT/1/Vv79pdwGv7sb9EX8Ytpkwnh5+66
RKV0wOXX6ItHvgXKtTSFIIL1OziNJX6xXW7kZK4softJ+Z/9Lfji/8Jv+C6FanBtCGE5/529O3v/
/yDPUEqKtG+6HroUMOg/SlNxOGsvmSv3UeoUOeQMVy1r06kMaKqe84ZoJe8Eg9uqqTOT9xSXKxSR
2SWBaSOxKMdT56CjvSob2eaGKSdoXD8NS7kpR3j7nsebLXab/Oj19fgeJ0MPjyCxXIw2EcVJwVLC
fBp9ZzkaM2P62vcSk0ZwYe3KvsH2jJtklTd2f0hL4AyQViiyS11WgWamDkZZtz+jdpzXrLyGUGM5
AmYz4d+YPfGSiCdRa+eQFr2h2RUSXc3ui2Tb9alPWkWgG8YQeRos6/s4tYKPtHBpbnPgyu4w5tn7
ah5MwqpJcpvVbrPnJ+NtCmvKvJXdq+VkiASrU6CroBYP57WVR1WyiiVODVpEWYRG3CoKH0DNijRO
ptbIG3JFuSYeUbxhG7epq8vo2/W7WeTNDZVpZygur5TDXS8VB01m5wc6p8/jyGDuzHcxYyApneHC
mX3NyYZjj0jszsJbtrDxPiof2OyuQnrQ9Jeivq59rItA+dGKe2DeEznUkTWwsJM7WaVXbabrvnw6
WEKCH6CBK5Rz+qaJpvaUAo68SmQFeMCYr2d4Ma9sGvCsLX59WToxQGaWhvuY22lzatO5O0yuYV6T
G8gbio+saDP7fWaupKZQu8Xk0SzQeAcCeePTaDmuWNUYiIrVtIzQXgxxJrhqHCvZGD86qw9hQzt0
4fJJ63h5K++byl15VQIjQHGJLU3ocihowJ/5kRAb3Jp8Kg9wkb2SASsu92gN5SsF2y6FYL7JIGWm
721dfccp6X0PgsXbQ23M7guwghfsXu4zwfl8VSexSQ95453TfIhIyLsxF0QSK9UUnUdzKrFSWsYh
MFW2x0Ir72DHQaeknqwi/0x2G42iK1YiHG7gLGfX+UQqiz4lOXGfLQTFNW0FA0ik3nPPoCbXXaDi
Iw2s8wNEEtqCVCcu8AW5GkVOPb5Z4JpOYcY1zWJhtB+zpX9VRajOIXnoAy251iPKCWEYSMPq1jLS
9jWHetgCE8Jmsh4nwwElgRV2AotUGO2G1WBHdCcztpmlGBFD5dfc0rJpT8kCf03puOqCMaZ4ttEo
FSEqfhRNNnnAqtiIsBkbLbShiE42q2P34qUy3BqJ6d/yuiDznVGyckPfXwDG1s4vql/680jr5gUL
PNRoiQD3ECwVAYSs70i20Izwg8MyujX7mfCKFKnccfx33FE8vVYQHrbekHiVLourBH9pmd7KxQJ0
obU4zrNhC2WjZFkvcjKf9nTwvuS7Xit5vtb0CMkAbdY6H1dHOLCdVv/8LyEw0JqgTEO586rZPQut
GJpf2qFWEQlPKLINefHqEJZGZIS5ZK3l/FR/SZAMXeGjaAv5LrRCGaqGzb9WLZ0SRnKilcxEa5pe
Ini2Zq10hlGu7nytfs6Oo7T2hSZK2QLy2uxuhdcf6AtpD141xjg0Q/MQaFW194zmAmeluCSO5zw3
hqueTa3DKktDEJapkodQ67TePMhbdqPOM5U7DBOiVukVkwqBv95je6X13qa0rE8c8/6mEqp+JmAl
NkY9tc+J1oqzL9k41woy9QzuLtWqstT6sqmVZsBTHbl4Ku8x3KNEI2CGO/olkactrVTjD7bOUUH7
26x1bF8r2oK4DjpPKuBpDMELcFlv13RyuG+CNrzwy/BYa4U80Vp5oVVz6v2aG+l2ww2xzPKdBNS4
s4UsXuWQBK+Bz7Vv0Cq8nAxM61qZzwBpbPGrM7j4BmE0IILNVnzJ+U6exadMa/z1aLPb07o/amlx
qfUuAPMFAsLkA4fvTrXeF3icakVYvdZfq4R58O6x7qwjvWXwYy96pMRn/Fl27JPcllG3bwlyImjL
Rmxdmr48Iksxy4vWVmpnzJYbrfvWqs+1Z/TrRW882qGK6H1reSIpDTs4aQJ9Gs+Nbb0QLToBUzOu
RTUeisgvV14SXUNMbg+8qrd0kgJRSJE8g7oAztuKdi0mBirEaWhTXHwdKz9lFpAECM19gVg3lD4b
LaatrE/zYzwABVpHIkLOnihZi9v2lfw3b+ahotbFV9aEpdV01ENLQHIz2OjHslEORWLFeG8ZrYOn
iaKBwyTqeVvgM0SWm6iLT+8JIFCIWQzdhRG1fq8HqvbCQNbvjT8Xp6nm20PVrPNY4N3jE1vb13FX
W5sZgPVGdOV8JZTc99ayHOAxLftSyfwFcOpHxqFFWuEtnrzuoAqap/zSOJCNW/V2tCYSGB4DAAvr
yTasexhiwwksgvlgzyOeOVIeEz63cu4xLTno1Q7u8w3Qe7EjXopCLk3jcwpb9yQk/QM8H6yh/Ho4
WAsEOdCs1Qf1MuPBl7V36mW9vLVgWiihKS86iw5YAadRNBbhAz+Agu8pvepMQq3/5su5J5rexDci
moia5LMFgWwS+9pcqktulea5S5LiRbE52o5xVFNqY4xjTQoQGU26PaZvCqqDT5gZ1jo0DBhf9KmQ
PLDIHyaRr5Kt8EsagNwyoUHaLo17j+qhZBtPeJvLaQLfZXSlm++NoKzuuV8k5TVQCCPeGEUe6wAc
FLij2YmFCjKcbOo2ACxyUkGb34W9lfwseOPMq9h2FZoIS+nOcpMnC0TqNuW6u/YzIR47b8x3kyxZ
44KNtQ4FQcmdlbI5N6rE3FqBhrUDdMGxmcgtC7P6HlD0rUH9QVkjiU1td2yrqdoME4FdnHPwWrla
rMkvReuWFMqHSqbpU9Xyo0uc9tXLxze3HpEUHLAXt4ERuUTmhv6wkAVb0+Wrzp6lp9HaHK+QCdtN
FeKw87q4wJrO8dSZg3WyGv9RLqq4YtWQbXEw6hLKsmOd44kV9V/RxsmdchcTUb4CHKhuexEa+7BS
xgMUZ5IwjnDXtixdgNRz+EHLgLXjGY32JVREfgxD8ci05V4nlh9dIJHQE7iM/Y7EhFi7ce4+RJgo
z5CvsCikcklZMPWIsXLEcw0xkfgNbvBjS4zvXdB/svWNOrwUCehgU1VYCnhFraoudWiESrK1kYfW
NmqMaBNCuEqIYlInGsOMd7ZLTq+Xk0GiZthX3jYOzXiX9l4YcbtSxrEIKvvK89sRdXWyD8Xkioew
D+ItcpVzPWBgO5CHzfbZrMQzjGlsOhKzXIZKf0zysLp4KkegGYiXUxtgGsmLk7T9oVFZfW9aVr+Z
JNBaO2GN63uL/cxBBwzWpZ6R7IErt7bys1MiCv/ghf3Aq6UuP/0y86/dzsmfxqykOLEvTbz/njws
me0cg2a2UV9Dk+VsLXCyhgFHzcw6gduAtUnMcjp3Zn/nmN2Oe6p5zmAebv28/WYQ7m3wGt6Ms/G9
HBWRnKhynsgH0tHmt+0mqRhaahe0UC3N6VQ7cb+leorui8nGHDToIgB3KPAq8cFA3S56mulQ5txH
agqRb4jE8hXQFNBCv/21wv0/kQ6o1fnTGv2PcxpD5O8BBVgullSZSXyggoL6BsshsDIGHv0ltHpJ
J602aamMpyaQ0yOxpOAFU019K+MluiLw1nwH+ZciNHPBpz5PRnsCnfXjZCGomKwcN5mXUWHQBsaF
pbeMeWgTwiasyQpzHdhalwxl8oLdzKBaMS/HdSj7cl+Pnr0FrX7l+4nxgyxQtLGMqbo1EJgP0Amf
IduIIzRMZxs2gXiRw+Bd9YJNXtoEFXo5jRuoj86NzYKM+kerdTZF4y/HNva8V27q0d4he7iCJf9W
jc5l6IcHmxsKTbglEJpAzhuMAfMd7L1zmGTLOYHuyw3cB6BsihZSODE5GvHyicjgyoxa50P2Dbsk
0Dp0dswFl8LtaIjqGx5lUit14me8YmN3PIeeB5+NUhmkpEi6d1XVjbddvhBupkEvvJ6R1H46g5l8
oNSPm5o0yVZBUL+vlmwOVgYW8CV0LXNbzaN7RRrbODjgSTcdNbUN61gQgugy5vRz7KaXLqb1rYSy
uMOvk++cqcl3I3V6K7f+WjstyXWoHJ921qLtEXUdGhSGauwQZJfkdqF5d4crRJ7oZXUvidlCQ7Cm
MbnnQQ9YHUzqSBP7eFx0PFwkc/dJayNXwQKsEP4JrQgN3BfAbYI189a+MPB163v2+HXlzr+u34ha
xhWnMJfytFbdlm+k3JnM8pSyqTiGWMlN3vq61Pv6fo98z00f9iBgcH3/V4bfnwM9E1AlHujddHIz
EPlDFyYgetulShC+C7pH3DnVFT4ZZg2XmxkvIz2CWF/TyKAHEzDP6sJ6nGkl1IOLaiHgFa6SSOFz
0GytoTG27Ec7yiP0yON/jT/Ca8uaUktvWgMlEHAznGA72/T2IrTxwQ0w7WI5E94b8HtJYgBBGZ2w
v9hTm+5nf6ZdyNfz1tIsDzXRnU1u1PeGTJJDbfANs8BW3BeDsCGwcVMmmjdRqctV+OTRk3g1xgxp
dhv2RJvToV7HPtcwYjXEmOPIFN/IlDlr0pLWJfCV99zwMwDsqkfGTA+P2dccCQMxQ8vtUQoYMkE5
pGv1NXm6X1NooAfSWpCbbPSQOuhxFTN5dCaSea71KJvooZZEo3fmH6kHXUbeVg+/uR6DKcHKMEky
GjtG5H8v7eb7RH/Au6sH6EGP0oseqks9Xvtfk/aih+5Yj9+BHsTnr5k81+N5oQf1UY/svR7eJz3G
k2Niom/1cE841fix6IE/5SUN4ZXfHRvcQcOXMpBpkWDQcoGjhQPZD8H/x5Ml/kx8EXCheQ8KW2rV
xnO0WPvj7T4pIxxc4p/AIkYzwXh/jyPpYXmxXpo346W5VzfdXbLqylsjv/mdOvh35F9bu7x+733l
bxSmzYKInDdPvvenv1GhF4AhT8L96PrhO5vgBGaWnc43EMUWueZiWF+1c8PqU0RZ/C6cBRK0HVKP
KRyd0p6TcAe9YyaD73FBpPbT4kiSAHfN/eKExreur91HjCi8ud2yUlCWbQ9Cbp/N7WFqquZsEZk5
EfqcjhzMPG6oAysswffDtPj7kdsUs3OBT9IWzW7uVHNFImB5xRgRHimzzY8gOPw9ReHGU5Go9jyQ
4b2LixHUZj6I5WrkfvcQB+7yZqskzTa5mtSG9XH7bEeWfhwLmf8KY/rLg9HWYJ4/fFNthHRbuEDa
he1iVP7jj7GDe8Csp+tme9/Gm5ocexkSYpuNYIspj+9VYDkX09aVRiJI5NpJBodlkye+d34c005e
edHHDF7gVOT2jLdRdJqwGrxwv6ueLVqoh4Qt0WDCqOMOrO4xASTsVY0649FMLXCD3pwdzB7tYBXS
Oelt3MjwTp1PRn/bz/yriGKSlCRHV75h+cIHUPQu5oBFn0eQVTma0q9javk6suyv4wtIDaxqfab9
j4j1f5mf00G9H1U9twmsxe7f/uW34N7mrX/7wy+2X773u+FnO9//7Ia8/7d/+fWHqv/L/+pv/hZm
e5zrn//6j28fRYJi0vVt8qP/Q84NEYzr0F8r9Ye3dn4r3/7On/lVodc6PFKZyVuAz5D9OzgV2TjS
aC6uRf4K3hUmf8/fTPPmLz5UKjeAzuL9Fpv7m0bv/eIy2uhsHA5CHaj72xf/22uC79tffsId7z+8
NwSfUQGN3sIpiUviT2yqTKATZhnv3HTkoPRM5K0dwI1iVy5p+hIRvfzuwB0+MuyREWWBD09isi0U
8mY8QIcKeMe2/UNA7KvcjJCMnisOmhepSu9mWUz7KcFjfa2kaR1nGsDeYW9aN0OLGkncJjq4BdsD
MlABefVG9DYf2UUOK5Zp/Y1Ls+yj7aWESBOjKD/nuYaawgLwUeZCbajDoCQNMsYFU3K2GSAQYep1
i2NU+xGXmzB9LnynO7V0sRDRitNrqIq7BE7SyjeCcV0WDanTEYEkTXtKVj2eGm53CO2I98cq90MK
fhxaonhUo5sA/sw+6RJ2u1NGPXUzkCaktfABr7+3Gqe0vxlISG4CtC8/durVnLgI7rZda++3ccKv
YO8cOEg3NsbFHd1N2cMIOfO66kmzp55b3jTS7o5R3omt1zXjfV7G/XFErl8BkqFDbXBuwqHNb9xm
GvfNNATfRWsjVRvlSORd2ltDNtltnlvtwdGh+r7FApIP/fIWFBSaAIuod1R+DBt8YACAgFICre9B
/9imfAqz+rMsuUtvyh5Pz3oqMvXdZAX+3I+RepnjsHvE1BH+FAtb6BUNH1gnAGijGc0mDSpH1xwK
vPpWbH4vArjRcITSBLrT4k2vuC2Vvcvo2bmUPvaGxC+mq8CIsQ+R15jBGix+sqmGINjMbT7baz4j
hs++O28YCln3YEAfik8xTw6YS1ZeK7MSRKS7quTUsQ0gRU7zkM/8XOyGmaJLvM+ZxvG7JWaZbEyu
dZ3lEXcTo+y/TakbbTs/GL55Y5o8Q4OINl1j3NMuWV+lo5KfBij6Fb0KcNnZOA2U7EUzjlKZfiBG
vjoYrK7rdmn5oXvs1HN8OoOitJitcCUEt0aLKLnn1c71OA7pfVz5YpMs3XyamsW7LWoKDozsaYrJ
bK6UF43nsZG8u8lLHmZpq0OU+PG5xe5Pu2a+ldEUHiqjw6WOPca90y1Rt6pX82523enURLHzPUa2
AZi/jMaLR8/uc1Tn2bHMlHotkHneVDiCdv5/7J1Zb9zItqX/yn3qNxY4RHBAA/chkzlImal5fiEk
Ww7O8/zr+6PL5xxL7uPqAi4afYF+KQNlS5lJJiN27L3WtxBe+UXjuofBqho/8pBN2vI6Go3qxurH
bO1RL7/GVlU9UA8g4iw667nES3HGwN5aEmoC+hcFUJyTyABN+/zT8kI10rNpLgp1IFKmX89OXV7K
MYLP4ZblY+AxmocqrXd7szJJIdAx+W1jwhmCHuMqnkZh3DBLMjhLsTowkJN4wqGM8371jBzC3jSG
B7LJnHNQM5NPH7A4BQ4Nb7uNzctodptTmXfGhsyo+rxhUG9QRscw+5Ec2qckVFG/CVL4GkFSG+8u
ypj3zpbVifPGWPtDVpHQwyEw3fTkGFV+3jQwu1ClDvfIR3NUHrarp4wtusTxvcnwfKjXQGMCK5aH
ylrQAyiy5MnMEckVqaVvu2BJ7Qavp0uObbnrrvMY3HhrOX2EukBzL1rXqOZVzVL87NACjVakvU6A
L2RNtPM0K0I1CXGTACUi2+XpnIfw2EZj8WSJEFU+LJXuetT6/CuOQLImglyZL6KWo6Tp1YTPI8EC
pF5ZCR4+J48dOl+piSNzyhkqok2y3HtDh7aRVMbwBBd/zs8jEEn4fjgTnGmDLvMd4g/LQDIXaQS/
jmaxamXpPHVg+9yNR3P5Sl9wGVYxLYs2gbQsjJCnIpIp8nHbmf3U7WCC0mTMTU97tjGAmIAeRmSH
AATH8WQvRM59FJllvbZ0rbpgXlmFm3FsrXGjTIPUJqTScb2bwFQBMzRlcQv2HkPuwOlPI2+6bt7w
ankEXXFoCw8Ro7j2tgx17eDUc7bFPtKC7OxCiG1xlU23uloOYMJMumdcErZcU2LmOJa7QTCWaBZl
aqeRoamD+SXjIzViwGaWxI4KOeUcIJENmr5lWswwevxWo/h8JHWq2RVIVVM0WdBbVoQwpTdR4gSP
3eA1p9QT34goqV9l5N2IcWS+PEP+BqKRFvaW+EPvvJPd+EIrBcC56Hr7RXQ6hmAFbupMR4SK3omJ
+U6RVnkTJO7sXqkk0MAqicwg6dGph60Xe3wA6LrtLkm9lkMt/Btaqiy+9wD/xkNDAPwDGt6chJCU
TEhADkzSByKs3g2XXcXyyDNZ25zXNmE4yJOG+82h+43RZtUSzXCmaSnPfc2D8FQCTLqbWkKdYMGb
2iozcr6ARUjQ3Q7SWr8LDGVwsOrCE84csuwTtGTRJrfz+Ek6Pe/ZSd3s3BaNyP15jgKOQjCxzpFJ
V49A3TJxFjnxVK4Dh7bB2kKe2YCub+CJ5Nw4EPVIbTS94Q0ik02/VlpPK2as0MrlWs8T0wZG+hjn
aXdgDTVedaOdHtH9uGf4ESAVf08oKbQcB/nAr4ZdV4zds8fPXzc9pJBViCZmhytVe+awOB7MCQIl
aWFsev0oCUrMvQc1j9q9XnrptbBG1fjDKElmbq3sZKV5QJJtwJVl0W0v40AANIHO0z70vZhanzi1
4kVLivLMA2KKlNQqrVsZgZBfsSpqb3mFoQZxmV7juvJyTWCQdykVYP2lrxHaunJHE5+82rgl6nYV
RwUDpdjMdMRaNVSeXM/fnVC42aMxBNCi62lwbvBjhLD3B1g+OIJnEPRELV5Bfp9DLhfnZszwcjgE
LYMTUnbCa9pMqH4bdwiI2ojglc/pG/cKEMg8uuXD0CA/RGbJ/k576CapQ61cJRa4hBUEPh6QBG0f
qQNLygWncP2hjDHSrOdOOMc+nG0m8jS/1L6NUOMdHXCM0yYhPLD1g1C2lzqkTL6eyMOitZmEwVNg
Y7zJyAoktCzlqipNlQ9dM9rX7bDIMfCTY5anv35lQHY7zaPOiqq7orkhsKW8GdwAd0SrE4Rt1wai
zEFFGYkqjGMJAbUq/PslawSYUWevxZ2xNQqD/onVJ9EmnvWWitZgnEFKcIwKXgbIotzcJH/SKR5I
vWHSYADQu6CVxBVBiF8ddZ0O3gr5bbQ3RuW+JhHWQXoEvC3lxe2DZ4wD1zecQt8RjvrCmCvd2+AX
HiI9wolCUgGLX2teJLMVn9JJQvzWZDqjKIvlnp22TMCpIH3H2w2+cVfEjXcMCFw+jBhcPVQTTos8
NgqbFzJjyetI88b6lpZe9h6gvTznKK/ewOORuaSa2TuCaLsIXUs/m+jn///0sf/DQ6NkcfrdofH8
lUT2//gfr1n5P//j8MqAKKo/HCD//PkfB0gY2i62aioCmjsSSdc/JV7kj3nYnekM2vzxPZnsHwdI
+QdtBInwC4e1Z343ZP84QFrmH7RwTNQKhrB0AsiMv3OCFPYi4vpXk4SYdcEXVf+lx4VYRhkdPuFd
RiLRStMwWVK1iRk8bdRflCKxi40XBOSdArEI6Sk3Itmw21eHaeyDs0Ip+kChIy8YmYa+Po2OnzJM
3qesJhu6shQ7paYMILrS6H28AFQCwRLoUbTTWQaXcpXyGD2Oi6DdwYe0aUgE2LMSVZdGZyaPCmIJ
B6sC/NAiiWeykcDA8LyzfB7QmS/S+SwP63MccwJpiBe9uovE3ok4zvjBd+V9s4jw3UWOnyzC/H7q
ob59V+sPi3C/+K7hd1BjHedOUd5SuLbv6rveH+OpedcuJoB2QoBzqKo+Okw1dMcSZcE2cItgN+Eg
EPE8r23XxlXA6QSXRWIi5QrMEn3YYkBImbCxWWJKqOK+9Mcmn5/ZpOMNFjHIEouNIXHC6a5LaEIc
GtUAAPP+ND50jMNZnzJ5ymvRrUL6aKtCG4KDjJ3yTXBewNlWar6rwPvF320Wi+GiiPPkkf56+agi
r9vrizHDwfXhoNwDWh0tBo55IdCuS1bxL9BBgnOLTrC5w+nAWAFHqDwbtJ6CB3WcdqdpmTOeZuHg
h6dB5X3Dc0vkEOd8xZqu1QcbYNWrVkaJRIQL4ELL2hZeRErM1RzzW6IyLJkpWnW7oTzX9jkuvA17
ieHPxEP4BAPoPiJDGHUq6swb2+SsWA3cBd9EHPEAg5rJr+tVpbqnxUb2XdablOCzzUR2neoZexdt
MXWZ2Y515mVVeCVN3ANGCfiG210MJpcNZdWaqPbpKlAMQBosohvBrzSvat7iawfEGx8pobt+PlUS
RxQx9UjmAYMFHLTNFUau+iwU2rTNQiP4NpU276nhpMzRwwg9nNN8VUIEU5V549hN8IrkNnGxI2v8
ZzRMrJsRULXQmzy8FpWxjKTaxtedor4uTDPFgeaVRrTtZupck2PFTSRS9Y32Rbgeg6JEqRhRWcnC
YJoJH6RFjTzMGEc80D/dPnY1/Sv2wOl1xqJ0b/Gy0i80w/qmY/3ikVayqPweLNqwAvNB0rEVkZkC
NzlteyzPuWv5dPnLhSRkFoU/9lLgfs/6YGtqjiuuwgiqmI/2GnXIFI/2YsfuwnDDaULewuJLhpVV
ahnSQPJ4yAc0Khe9FjqD92GqCM9sI0OnIKWriU4/R4an6YE8NyZHNfgEPe8mHccvpo4ldDIK+UWQ
8rXXcdDfjCjdjmOnEn82KnHFRcE4Z7jl+DBqsXpFMB2dwVdOzsopaLEudoSip3brXTqQc8AONBmf
dQ6XJI2BJjYXM20PVEWIpyV9TBq0tteV4JHmDoGghgvZLGmx9KX3XpuYD/2x1dj1nSh8ixiyvqkg
7rd2BWdoxvF2RfdXO28nmV3FnqSUUbW24CeNSbxo9WRh1HKsLF9l0A6PKTeJM2uhXvgl2T4Odf2q
iZkJDcJ7oUQuN6h17OPcYyVxu1rS3HLTYztZ8sUVyokRXGKVc5oY/EG74HRLh7WHyjLp10bC6G7d
o/M/4/BXnHPEL1OfuTp3DS1hcIxjZ9xPNllWYY0VdgNjNjjKxkiRDGh6hSoC5UC5HLb1V5AC3r1t
dcTRNo3H0DK9ZoiOEWFEAdQLN99KzSVTcpRdeWfL3jtkZToShS6iL4UZCg5G84Rxq9N34IWZDMRA
lWQTuegUi2RPlIskIzAcIFdWA3N39PkkNFmrfOKYXrUCTpUaxTMRzykmqFDUOwl1gRZDGl1orHun
TLeNS69hfBfKoPf1om5uJOv8VaX6wM/rwh3XfZdUO3sIxZXdieTOaLTw3QCnCjMgSvpN55reYc5G
2EDoUPZdLoddLpR2Xnohddpg5gXKFnAbfjlk8UnJJVLHsIb5TWmIK+Mki24y7AlnnL+u0SxCimS1
pE/Hkc58Zt/2DgR/YcmScrKvZ53SGgD5UK0rgn/O3baZ8kvgJSMOuiL8BgNM3VDeBXdmSXuSpwMr
nhoabFRNLZAJoRoessx+xGGCrlefXdr/U7YXgj4gQH9D2+ZouLHD9INznY2Wc0zrmSmkNQ/HvtYE
XcfQwR8cG8G5UjFnWV0RSM6AcqvQpZy1Wq9onxJ7tnUY0N9Ip8k2URTADplRvr0jHovCC5NE3leN
5sIyrpsZhOpJIdecU8cjlF+1VlPA6Z7y/Qjcvn82GwUFSoDH4uDAXMXLimWNd8MS206QrElcyOFz
WOXFDJQOcZlXme9WX+RUtCy/nOvxcusu8+yqc5svqBiLlTHnaECHSjuf3bl7z7Clbguj6W9rxTa0
coRMdha+1HOF5/jVjDxRY5dBQsrUTKf9ktbRlmmqtVa1TaZTJwS7Qel0B4BZxqHPkO6BHutAT8bR
bhIFK53Gz5xFjN2ORRWMV7Eb2jtSt+LzxnYrrmZb3QdDXq8ztpO1yqdgT3JgczPIGkKGGzh3Tez1
5GUOmBUzkjtdpiMHF5ouzBYyx3pNUAwgJwKfbDtMwU319r02/b+GRfx/cawDo+i3Bozja9KEr1+H
9/fyQ2X+58/9qMzFH4a5PIqObRkuATcMXX+YL0xISQZVuXAlSNjvQ58flblhgD2UHqNDh83lg/3C
JXbEWOYxVOw07FHg/Z3K/BMYhGBgxJWG4+jL/NKFprgMqX8aQstiCELybNBEDdm5lzU7tvIUAW39
0mJ9WlHU0wKG+I9ydhe4aiFl6A+QX/QjcpQna4ifu7LmbDsvHKO+Q97QXpGzhwHMNpZ2PfrYirC5
dS3Tp9ZlqdK95InUC6BnE2NJm6qns4kuLbW1OcSXP52XfkyyfsaeLJKkf506vn849AowHYk/xt+y
xBj9/OFihLCkHBYCrnTsY3pgvPAtr8srrCjrv/dKYhnQ2S7T/GWgzzHs4ysprTacHnaH3xjUoiSZ
xIDep7bwDXKAfv9S1udpHGQUVlnGhCAM+cP8ZJhhf0VUwuLk53b/xQkq1IVZ/thOuPpqzzgL+kXd
a/cw4Cu79J2+a9a6LXrw61VI+21Aq9iVO5KIn/lXd3mendBjzb6U9ZPShkNhO69m6AtZ2tChijd0
utO6tDicoSI5TkKx1sGq2gaWTgUAQdmCG7Bue+TBQo8GH0PPq93Pz1UVvViVQ6WUgDX//TX4RTvB
h3c9SUqOTW62ZMr58XoH0gmJstQ8v3BdjDOkWWdjtUZUhIIHs3XxVGY2m0iP9BjD8tJFFH32NWV7
/v0b+f5C//qKAZQRjgFgxmJ4u1isjE9vZArHUWUKQ1yK32dlVBUFkuY8uapZYNbpFyIZDigsOMSk
h7qDk4+JhnRqZ0cli4LPM6+JuLhdHO6Mp3ZUYK9zrF6yCax3Km/+4s3+gjhFnsAiBG5hmTSzhHy8
anns4shmdIJVZcbGw9zL0Yc70eu3KPpPnNTumq44I6x1P4/2Lqr0B+Zv9aoTsMQ4ftcIRXtjhl2N
MXdOQ4J6IEChRFr9/n3+cncdhtqkNmDJ5VECJfdJUgGq0rGjyNH8PkpvySmottQlAwCT8XJYKKlB
A20sHhh62rSzofG/9EiiJhTpHR3b37+Zz7LHT+/FXa7pTwskXAojxY1AaEtOH7kkBtMz4C1ajDfN
XfOXL/d9Tfr5C7W8HuN+ncB4GjNoSj6+nmMtXXzwV77VgidAkIqFsq39LmNQN4lbg3jBLYL2wu8L
DZVk5kRXdjidQZ59cSaswjEw8I1Cp05Fkj+RTkkLjxyZuLmbI5obwKXSNbz8EdBLdO0xdfPhOiLn
nI/Ui2If25xcSyOvaAWbhDMUxoYYgQNYX8rEHPW9ENUxReu7DShzViXWs30LyX5TSI7LMiNMyqyV
xTBrvvr9jfi4mNM+Wi6MSS+KvcpwgN19vDCw8lMEsNwIGh1k5aptXF6Msesn2en3L2T++pjQK6Ml
Rg3JC5EJ9vGV5AzmD0BouLFih7FR8p5LAykquT+wyq3O95rwMR6HW1HNZ2033ViT+Ry42VJ8By91
wDhPNl+VM69yPdnXKS2etj6NRbr7/fsUv341P77PT3IuPfDojZckfASzfZyMYdskxNaDC38K2KBB
qveMHcoeP6AW4mEc81M9lhPch+pJzQzli2HWLpi0kOE0VtaeYrQ/1U2d+TGq9D2O4GCnKluczxx9
H5iCFeuyai/6AgSaKDsCkVpmxhpdKL5qvLCt9zRacAvCzhPmShswPQD8zzYF6jnOPcXj2MavQVgC
SCyH6WWS3YNJUe6T9NN/y2gTcHAm3zToKnVATzFvkzB9+P01+/VLRLUjBVUP2zS9z09Pc9J6lBtW
7vlKBnDeEhbBfh1ZZLWW5vb3L0UC4c/Vx/KF/V5zOOR6wruUxqd9eoz1qmuswvN73GLnXTc/Aquz
DmXNtA0sl8BVyow6n06N+qYcfOaF1aDB99hgh7ao/XkybG6KrK8Mb/qLN/exH/v9vTGa5Kml6cvT
9LnsS+OeWCS4dH6cpecTwx+pHebq/i+uwOdKZaF56qC5oRziL8ZZ9/FBqs1FRWmnilYN/sBxaQ7I
KPEDCXIyChfScnczqLJ8TSt5j67wWjYW9M0CJITIAe7PGYn3dZSjdRmvaAKFxxSjIPJ2R/xFQfG/
e6e2K9gU+VrQx/20uLScitNRRoHv2gWrSkQfN8aGu/ioFC0iEuScrQ4524Wt9PuLxIHipxqVO+G4
VDEu42zJrsyh8OM1gtnUzoUqAh9qwkMwOCwxnPLQplu5ecOUfB1l1V+85C9pl8tr2gYsVYju7DPy
033xskkX2KIRIlXBLjMRJgK0Gs9L4Vi+GVHaZ92XMOnvq1C8xpH9as4I8gPtDWGcWodaUVy4Y/4t
phNq4AaJ4rvfXxLxywLsmhTTHgXuQn7lKfp4TUYNJbdutpoPEMGnGUFuRbANYh4XhA42aukZGipf
omE0IZyE5x2WZSLQxy1xY8819CoM2uIGPPc3ohC32ahvVQ9VWEuiK3iluxJCyErik/bK4ovNfosK
QCF317yzgr+eSzGcM5FEJQnsahoxbieyeZ8y/a6bxLOBO4fGCh7RZCsUbNTeqpO/uEO/mOKh4Noc
WxyKXJ4dZr0fr0AeRS2njdDx0avcmZm8pi2xd/JeA9o4pvCqkC40MjyVo0oJveH/oItmmps2m1Y1
N2093OCRZDPQMEqRwk3uQs0G7yBrYxbswKDyM48+rWGR5NwsQSMTi3dFplg92MZCSGTuKgafFsor
cLJ8ZSv3treQk5nRyVCWn6R4HNGz9URb+4MO3wsI9NdwGT/gRLyou8jveaOGnqE2G49jHB+TlOb9
WMnXvm19TGVqhWFk17b2Ca3TruIMshlJVyHQntA8QSD3ZsQ8VGi6gb4fqXqbjWT4JCSIiGZtYfWm
g2Wcm7L8MpBWVaRPzoxWr33//Zfxl03WJQyPQzpBtMYyYPu0MnR2HuQOMh7fMtfVvJdYFYt9BVis
+FFp/ld3UP4bUSzQtPx+xHn5NaKB8nPv5MeP/Nk7cR3Er0spjKDhHx2SH5mt8Clo6gm56NndPynT
P3onpgnTQtI8sR0d1vR32sWPqabh/OFyVqTj4hnwQGnG/J3eCQ8iT+HPtTraKuZ2qHPpL6DMXYau
P58Not6uXFHAqIUjw0i+yGALrZg+6afQqbGNOFTeHVleGw/ObrYxsZEeDTtPt2w21SGJYwNVok4g
ZG9FHrS/Er6uabZOt3LZCeqdmUsKRyOCQ+QVNCtVizAM3NBQn+feVD3NkUx53Ir0LLLScJ/hzth3
WQ9Na0m9qRiCXEYMZttVpdre86UlyJXIEhOhRDEJ7BGmqOv8zHRTcYg4JUOzL0WzCTpLOyGtwomk
Jyz5HFNH7T1oOlC+7mB4b5FXu2s0Qu6JULXoHFEmzH1y+4ojYHD7ER4AMY5w+AEPJHgDCmRqdc+k
DVoqUbZ5/BC36fMw69EpqqO7oGbCIFXWo2W061fbnsODMMHRozy1b20MOyc9is3d2GsL8i5C5THl
4RkuOo1TvU5buU63qsjnjcel2xAPE661qg5WxJ8jls8BDyWee3KLMT2YqsV+3AAOUqXEFlREN4Er
47PcKNMN+qPpZZwL+xgSk8HwT9fydB3ZCRPdmEbTeQISA9mZbiHUaLoyXGgWkOu0hSiEb0RD0Zqm
BhqmchwoHzJmnfckuOpXNl6cG69PU+/MJS2wIVFuAa5Z41SzIJvNa+GEQ3U29EV3sBWN+JVOY+6y
cLOCk27l9sh/agayh4HTqMWQogT6rzkkH9E5V95V0yuGT3YLYWWbk/R63mCbWQcgKmmfB24VkemQ
0Yan2GeHByJ7obzGvIgIc3jR+s7cBs2Q7/JYQ1QJoCO9qQAs3pfAITeydccjZp8eD6qTciu9HvKi
GF0GUeZQ97euUYSkVUaW+dgB63woSqOGmTTUxrWH8PPSNmm9+LIOin0nnXSfeWKg4df102Or04au
ZBRfN3AjN5YWkrVJKtmkjgMfqd92qVHgpEhr/DoAz29Cp3P3kFb0vZ2ocQshMEvXQbKsyKVTnFIz
bdnqb806olE59IwZwodiAMhbJFN/0bVcY9KJ42eMrd2VLOp+LQU+ObfOL9vRuLCmyfCTbpwJ6kit
U1xpXDKmuusagOeJdDUr26VM4HiqpzHE9lXTIp1yjZF8Sd7ZvOnIApnXwAykLxivvOMTfW6ttD6S
R5ifwDOMCM+HOF7Fs0OoXpMJMktGWFZzQ8AssJjgMm4YOcG4CPIDPvya2ehgRMzP9Mi5zqO0eTDQ
U7WABVPn1HhG/TSaIs98oy6pjB23sA+yDLoREovZdGd5peyIKZnlTi8CC7R127iMwxqZF19T4E7A
AYzKtktyXPvJA/JVdZHxqCnaWmdhjFsBXXMPpKOwQMN8gTIZeMe8IIWCwaYVcSuWoOShc5DsIb+P
rLVu9NM9CSSGL7sWlZk5EgQYFkTYEe6QIBAjFCLeRh3L9IolWk82juzSR8zCw67zanyeLPa4Nr3h
aIARuEBsmt+ntSQnDBMksRJuOupfHXjWu4Yx64n5KXEWoRZs+zYm/o3kDeuyMMbpLW8C4zmtKUKc
upXYj9DQBWWptm7clndDZBqQ+XUQLiNSyKr4qvq2uJ6FHbzHWjPtE4d6ph7GfpObOr/YCJjOADWe
xbgbFfHMd5FGAslaOPhs1i0K7vFmwi/Wc1hBeralZpjFmcIm4Ld5TZkYITq094E5curKOho0pzxz
SvMsQxyRbST26G5lJGq+i6EeZCsY2i1NJhqQIWWwqO2dKXPVr93GS06jLDS2F3CkpRESPjx3HCfN
Mih2k1dAT/IWXluqLtMmS4+1C2dcQ13KYV1A67DYeFZgXspzIIkzbBvPHnbTOGYnldTDvSTx9dgW
HkMpFCXlSwd9xoZbxyOxaoYR9T8oI+uAkd+dt/R3GZoC8nTifaLyIVsTzDZ90UVFz7PHh/oG3Byg
URmjpV2VDmPA1VTpubeDJUaFp2cTIjMwbYKYNwDbN43jEJ4M89AJD7hXQ8ifXac8drAijwDp6DXC
UrDtQIBKcYYtXwynVBTDHtceT0GjZYeCEe5+CDyAZtAXxnVcsEziEG1vnLFrt01a669VO9+IHgwL
8NOgu8X2L3KiiQEb0g6rHeQfEN2alTkn9mutJj31gcnbjzVqXG8t7DJW+wQgerjpKpus2AZ9ycya
HbdrfRqmd2V4+j2DzuEWl2ub+EU/tbc48rxDxTO8GjVT3BhNJR7R7GcHFmxx3sAyXMm4VvD4ptPs
pWJcdzboflcmx9mbz82WB3bFMH3+mqUF2tDOWgSrpCnY8iIKs0ZbZ9xKtaqqrJ62cGm0fCdSAWul
qKduW2puNl1bSg/vZYian9+uu4fEyGy1Q3Vq3cdjzHpHy6ktz6tiOWHUpAxdQq5KQV7i4nksUy/b
G3kswOpDrrT2UjN60qa1AAGiHVKvrZCwwNtqkoYbHQnMNJcNusx24/ZN+rzQXC/rmBiYFZMDu6fH
OOXUEN4IU9VJu+eKsMXLziTjtCARlfmpks1tMwvt1WW0hnWua5wIj7tioQFrAH0whRyxNtEyX/Kp
q/MgRPu7t0t9wLEads17k4a65WdqUOTOcOR09sXU5nhAO8sJQbUQCrEO9ZAF254NrUHilA0nZ9TL
eQ1z04ZtK43yq8GBNYFT2RfnTYgmdy2G6otLY2Bf4tf40ol+jtbuCPB03ZqabNbsTPOmBAa7MGh1
9SxpbB2lHvePWpTO+UqfmvjUG8W9O3DwQaQWKRw9NO0PWd3At8j6uPPDLP/K1AGL0RDUT3NeFGd1
lXDP+87uLsakBKDMvJmM5yKBwtzFNF9T202mLVLo6iqO5plHPliMhykSX2zTVYW2vUvqjq4G5x2i
yMzFt4MrckX0Waw2GiKQgyZcdd+hv3nHVQcmMeiHtNgUXYERIppzvnrMPCp/xjxUsSqDal9VjbDX
jmHZnh+YcYYwogse+qrOUTCH9a62W3NVVmmJbgtgyTyFOwrSfaLDnF1xTs23YmIKCJEXfX0yMpiw
wEmthiwXyEMclsAoS5pH1LzJ5rtxnn2f9SThW3muXCvYtyotjwUupLsqcNG2t0Hmo5QcUW4vKLKm
1qs3VWe4/ecwtL6MGUGRAbaPpJifmWa+9xG6bA2R2b4JzB6DCEZitRKTK1deV9iwlQKaJrClQsBC
U2hOiA9r/ckQ7EaPYVVoGUgZS15ZOGvPZlLD6g0UENI9VFumJEt6HIpZaPPkDeQYk6qZBcKno9pl
K9sNSUG3C6/c12wX65Y94GyMECYXXjQ8IN+oVnJIzWHXxFSZWpgfMI+G2qpq43Daa00G1aomlxui
iekNd+A0mQTKijdNcmv2xvyqfjLpAUA26BPtvRYaYjb6D/zu0a2vWYF0ws91q8QvkBTgc8rBI1ze
UNoS7O1dATatb2nKI3oI7ARMyDDl1YsNXht1WhkD36VAm55ddyy/dMrh6XDavPIOPHgUhlEeFq+e
3TV3KDStI7Mk8yobjebetVzUSFbZIZC2lD2xz6pJrvtI83bCLMY9356B7k2od18FavZoX8yRd6Bn
RMKKXjjlMpQeXMQbEzmgftyAgDIXWmyaZoCDtcZRT0zQbeQYA86GtEu5gW1hteBSc814hSDenRsk
r2M8zJZoB3cpwchJoR7IwIlQHFiMeagJIa96U3OcAsbcK7ivpbaazUD3dmEusncWifg1HgbnlLp6
DFBorPIN10wnhcWN0Ai1RojCC7R34BtB8UCkOInxXYyDLRo0iGAWqAIcIyvXSsQqlN2wYVWFpOog
qyWgyAsEAs3YCteKLPD7WKXeV+WVPNo1oYBvYyfjY11KzwTVhNeQIURtvIFhQQeqwwKOtMTclhBI
UYDBaSrM8VAHyCCrOYk3hIell1Y851eFY8cmo0uiF4gsW8jsBbIjpgFrySL56qU6LFy3ky9kAc5v
JIAyYCrBYyxZZvFbaRa4NcZU3XaZkTyZQabfRoPi/Oewh1z0ZRkMO9PIG2wkjtkmax4s5PYYoFCZ
RXUNrFzJzZgNrbsiJxa/37TO89vJmpFFhnzua1QM7roQpUV4nOM5B/LH02zdjW360IQWUJKZ4sKH
vj+Ha5T+4VfbKikWC5zYlXSyXV5bs8JbmYcH1XrdlW0EIUjhQbvzZE8eapBVR2XxMaiMGPb0SYj9
cWDDneapvzMH5GLc0IDj17MTs9qOnlC3VTH/Rcv8c7eJbjySDHp+nk7j3F4isn7uKLgWF9Yq23mH
FS2+Rn3ZXohwEbHmhnMeMRfcGYsQ+vctrs8taLQpsHCWZiMKKBNIwMcXxYhfzIGzcCxClR6pMtor
+pp0oHVirMu5JstomkhrART8F821zyOS5ZVpm9BYoxFOLs2ncUwp5eCkGfLwyi1hyMLJ68mQtzUo
BFYyw4wP8q/fP+t/dZPt37rPfzaf/+d/p1Yc6iPaV//eon7VfaWp/17X04d23J8/9qMdhymAJJ2l
8SZZ+VEm/VPKJP9gqLaMLzC4MO1a/uYfUiacCcJk4GYaEmasKWiS/aMdh4HddA16hBbmFuwMf8tk
sDwaH5pxrPwu7UK2JHKOKN0/fovlPwMCkSU/B1D+8SdR0yt4MilBnSsIjiC/PedIdvOXn67U1Z8v
8u91RohAPr30p0GsCXIhSfSm2uBwp7QKmwTwHZnLSfA2VIb7F8MBc/kkP3/SZaBGXhsVL7odYZqf
xiNx0AMbFED3+5gYBlUF7dqjOeSPrplAzSifdBXHO+50tUnTDjum05PxCVDL7+3uCeljRVqLeiBH
4GpqnZOMx7XVpXLV6sFjtZj3kwqnUgSe1QCBvfn9tUL89svbZ/jquqQx8V3hC/VpjTPrrHHsvhJw
wVqGGpYVk0hBE4+tVSx11SyRg01w/emPXRHLG92KQF6aY6UzSWWP1rvqKZnpXMSu/qyJ/BhaYkcb
4E05vcRIDICD0mg1DvxbMyN8Ml/UnWogzq/Ar7t2p+pMVaZ+p+U6ws0grfFOp/7Uq5UzX4NEWsdE
G/QyvBEy3qtpeGsYXCQDoKYu88cAkoaKkmvsDjdlOqEC+Dot1gmcqy9jBDnQmTAcUDc7p6L2KMkN
XNqe2y2R1jbhes2S5+PyYUaY7aI2rB3hUOrOTvTrXEvpIHq8slX16RFb9/QaZy0GLri36OtaNkoy
/GCW5mzHzI0WmmoXXU61g1SP3M697vwv9s6kuW0kzftfpWPuqEjswGEOQ4IERVGyZMu27AvCtE3s
+45P//6Srq6SaI301pz70B1VUTaxZOLJZ/kvKaecTTmGUZy7N2ByHByHUGq4SXs3DoEBPLQt9l1b
Ol91odlgSePynQOgnvRU9p/ps32lReFuzDHSjpW5DD+rvhP7Qb0etWi8HcWCe6FwkBzGW7vcmpa2
7IueSwhrgSpXqFulsKsfcZz8iMPSuoKM7sI2qMetYan3SltBgJwjJGWzL6B09zUw8HAAB2izNGaL
UIwK8X5dJQFFfB6gXJi39Q0F2GbqywfU24pfeiT/q7yFJrv0Tz8nUg3aKJYODJN00L7E07lhqdZV
N6ubPssK7KjwkinWIB2idF04YUWnwtQfICJPhyXqla9RYMoOr1PTToprWt62/hHHhvUiW3Zj3zs/
p8KZP+ipyHyYwtKWvhXvI71MP6NY0VNcBuL0n0Pt/8e1VBcs2ZPwI5Vd/iTf3X7LUWz5EOOplj89
0P78K38eaM4froaGisHoXVLjJEDhz/mS84eE5gK/uhBG1xzgvPxBVwccZMpj8K/jTLP/YEqoMakC
nfTrELxQWXlNdUXaoT/ZlgDgDAZLJlgEYHAgkcyLEXCASgY225q2M2hv7pdmTNdoe98Y0L4Q9Brt
VcSg2zOkfQ3GOdPHeEzDPcYN9MqQAvJUNNFXuTY435OoVb2gq+z3BXbTV6VSdTewraI3jqXnWeTv
9yvD/hOgHLwgpKWcWd1h+T3uZkN2/VB0AeESeKISIFtgJdxQbAb+kyV94fRlCPvGq7o4fyvLyKum
0uddHLb4bwMzwvSkdrYLArubpFdKj36asuqRSl6lmvluGtC+tWo39/Bs4RypzGY3L4UpmW/5qnRr
m7oleofDLUG74u1Z+vQu04PwBpHIGWOpkgZYU4hdC4eqgmfXZPHHNBEYene1QoCrMmd4xI1sxomk
Huu7Msqh7cKVZ4YuQsYptrNCETveZJWW73NXlDc0FuObBtrhl6hHMV1FzO0Qq5m2mXOk+ejub0Tx
fR4iAVE99Bk5YLPgRoMXjqr4aIzldGUPjNMzPaPRNYXxNrH770njotTpllr/CAlaULAqyZbwJn1F
azQBIrP0Sy35aFrBu34e72t0esjzvTFTHpENd6+7LMmRNnA/tyit+yam181sCG+OLO2QLOFNnkMy
rij6PWdO6Dr0sa+PeKEOjv2ty4fFG0ZwCZqb7PUB2oY2zO+oSs0t8qodilbwEBUc2PYVXvXgvgIN
BdH4tqT1t50aQT+kRNx92mMzFHhhU3kD+EtNCdclgu9UcFi86qLekgVNXhVKaZlFG2A7O8ZGG2ln
FNOcosYhyg0PBkM7rrors7HE1zFscPoK4bFLOgoCcnl8P/auvuerQUeovw6Q8ZMIz2HLlO+ByeNw
P+UTcqK5geeb1W8BR1Q7ESkP1GP09hta1I3LmkRlGb1zexCQg65nBzeSaQ5z3taxAmZ/lvC7OAqu
DGhwa0eDzVeXNL4A2ZiIq8CjGiZ9eVCmGsoK3bhyGNZDlF8tegN3Looz8A3s5snUlS2Q+XLVO5So
6FHO12MYifUUd7Evhvxo2MVDl6Lu5momWnwOhEvngZLTa60e0n3GuzRHA+21dNhZOsKLaa1jdGcz
RcSpktlBjy+MG6z6wTV3JqspXZB9y/xUFG26bvTZoVMB+UvP+gTvKYR4giwho6nJ4mwn8etsfK8W
QlwrIdwXS8qw4ScHtbTqqN3LKv3AYETxcGn1p9H4AMNn8lJnooU9R7TZ+uTWcibwp/CJvK6ERtol
AvSHovnKCFMLe7KNYcFm0rAPMHP3Gh3/qzp33scOKOx6nh66KWYQhhFgh94qogOY+i7eyHRmaj8t
Wf3Orhn/2KJ/j7uJ8xFRpHgLTG5TiB42Pi1XzAxumlTzELx+YCC30SZ3W0f5d9g0m24BxIbixbCu
tTZa42d6685W5KuQZeOkvo9Hdw8h4N1kh/skKLSb3KoVDQ+q2d6GAcJ4q1IvWzTbVZP3XogPU0u/
nizwvdIKgLUxyObCHabvAxkgU+wGRQQo+O63KKNNJHisK7g80IuQD8E5te+ZYtRVtkW5BuR/1IOj
ZNy4a6qY2X6KCAdgzdBr8tS8dwItWGWI+N9IdOIuY9InebmNRz8fST3U6Yh+4/Usxv6hQYFyu8CU
oz2nCJoDaktvzY7nFbpd4oA6jrhy6755Xwd5fzf2WNrGJcLLuNfwB5MStfuFrlXHvOUAmfFdNc/7
RtPnjWmlD3ORdPsUHSS2oPEJ63jgEpWdrjELQ0lEo+wAWNrcarhGw84KIq9DoRVoMel8kpLOgzuO
r0J7or+u4MurhHG8scWAA0fZmo95oeztYCHe0WbLFyfZFThT0M60ll0zgsxFcfVkhwWieXHnmxbY
HmVI013rxl90pUFSNg7usQ8sMLQJ0Fttp3GVDtGwGRVU5HOanrdL8xY8n2Tj8sCnKtIQ+MRTgCTi
ohmiKkakKmmr7kq3vC/j3MI7EEZ8HJnXrx+Y6nN83fmofnali9QCCkARMXrXd0PYw0MMXBS72mGF
lFqJGq51tDQmJJMJ1c+VkbfCO/iNlpP+POn+dQv0CgAfSnaUa1/UsE5ZYEbULuqOaGVXDH01hSK0
ZRYvrT5R6Eflt1bTD91Sdbu0QP8H8UoUnwZXXIskqK/pUlFItOWjBUDwnurM9dKokXhN2Mu3pr3A
kFNF7CVDFu7ioCt22jS1G4hKBMFC7Jsasye7Ck9wGkGSURCt8ya/5z6QbkVM5fVX/tLaPn3ci5o3
MTIoz6mp7hgOBe9hqOvreYZ8DrVwWb9+qec9tT/frC2hT/wfyCn535/kYeqI3RaitCq24/apsxF7
nE3jK/OUwmvM6vH1i/3GH2MFaRr+fTXZ0HxyNSXGh30qE21nxgOG16b+Wcci+ioZwx9q3MBEtdLu
ro+yCDqqtuw6ZQKAkoK9Qbm/u3ETaOWspIcSqZ9Z9bRN2r7b94HkTk5U2zGCJ8hejQL9nMT0tBmz
X7qSjJJTRLiySeXXygQ0jq4cJpmU1DI9MchTXn/O533Z80sl42fGYUPy4XHldn7ymGmO3pfCObKz
ahMdMisQ61zXUlI3S7kDRsMAra+z9I2lfOlDfXbZi5xa60qCWwmnUzFMCVMxf9gp5q9jgwBV3Ahl
X8zTbQB9947hRrmxR2bNrz/4i7dAUIIJiTKhA9ju+ZNnQp3aKo8xVY6zBmtqjQK5vYGzyNy3MxXU
6q13piPIN3XrK1G/3r5+Ay9sZ/fp9S++HCmThR5BaOy6rP+qt/F02xWBvs9ri42thG80A2Sl8Hcv
4Nc6I9dmssaqBr/s4mmjEchNh9jwztTb5KCOSA7EbdC90QN7IRrwPv++ysUztbrQhww3tF0O6mg1
8oDo/RqbLoev9/rbe+lK8lEE7hJUq78Fg8rti2WxxG4JUBQaHfVzZrlXnDNvPNGL2+TphS7iAPVH
39FJMzhNKvtnPKJthX627/YOCmVzr39Iww6fuVCmx7VMlLWqq94g7rxQMhsCIX4+UaG5LrX7870a
RNNY23Gg7zBYrHYL6LQHACLqFegifVfp08eyclMvHEIbDvtM+hZG9dquM7gyufJNYaDJzF4hYpJd
FNdpmH/GYSW7U2PtU9JY5RsFs/77ZmOKCgYO5SR5x6BRnwUVpnxpkC8NtwbDCm8SiOeRiH2kEMTa
UpabybWmTdULgGJADcMRkCFFqLKNGf17mC0iCwIL32uGAtnUItgkpQqLgJqmVdSZfmR9qqoxvBK1
lKfQjWvVHlBJzfExHGYHg00F39VqKcmtqqBGKvsn2H8Vm6A6hzA6GIe2bd+ft+N/pi9vCATb6ITR
THry7f7WqvJLUoqf567X1Y///q+//sZfLHL0mUy2NJHYgl/OXvnVqbL1PyyAuxr8mn93nf4avZjA
nXFEwKxVQxjKkoO9f49ejD/IAF2E/KAmSbq680+Q0M9jNPMPboxmGaeDCecJVfPnG1mzma+Y2Thu
khCHjgkhJ9gaHeo4KtpiCg7Yb5hRPI9q/74eFzQZRvE+Lj6cLNTbFOHfERpgm4BSC08DkjbsXHrw
T9bghd4SueizE+F8LY4vKY9Frmqb4uJEQAlUw94eHRGmmHTgctOsZNzAS0rTqps0CIebHhU2P8OO
wgvrxv1hZeVw1xZTiiadAcAD+2R1DywM2EAq9a1gkIbNZwOIG4eLA3gLM3F13wutPc4jMurrVrUB
HCY4DwC9XjIMPUa9/KkAywYskqoPudPgR6XbJMjXndGIuzhDBWPdxksAes02fnZWVNJxGBMJF8z6
Uz9BfAYIGnhpQaumDLLlDhkMC2eJGoeLGglatC274T6xFuW6Rqxk2NVGnzI0i1xupbeD4DMhDNiz
RteR6BlmNtKIGNkBQ0Zr3K/oUJQrYHtKjSboSNnaGkAzV0iaNqecEm1vt9aVHbIfVPDGG8UuDsVs
PcAkJ5YhYh7sUTVdrmNAjnfTlJHMad3GCMTArKV6VHI8Wgmh94mxgFM27QO0nGYVuzgo1RVppu4q
zQH7tmgt+h5vEAGuKFPRuPIUCxMrZKPSjapM6R5XhEcUqwBATkZKcw6Hc/J/qp3BJrFIkJ5v8UOI
UvT91KlDrcnd0Nef/TTU7tWGRFNT3s/14FHFtUxgQAHTLDYYUrhXWk1HIAWhsA6aJlkBoDkVSezS
FEv4B/AEkK3LXZthuDBkNiaBUYuitMHFNStntuUIelConvRlw6dThN9CLb3JC1SJNCs8jgFbXW0z
x8NpyadFcF+mOEvIN5rqFD+BEX3ogHDhVKv9MHuIBql9VZcJ1CBczURFowRERrXWWv0+0FMg0bn6
I7HyLYOKGuRg5zPuPwnNSjcpaDOwaqchcG6Zzp1SNz7kXbgPqxRF/0GeFVH9IQSSSjUDVGq4joLU
70jBI1RMNgxi2XcMIwHLBJAQDolukMAnRtC+qzuwikr5WAwJGHCEe1b6mF0Ld/pp9VXioUVvbdNc
gsImUE0osWGrAwxj0+uAjRanAFSIFieMdOdWw+n6Vg+mI7LTn6dQs8DQjmhL6inKvoHyEOjhYU4Q
Dl90I6Cz2wZrzYZzmAaIClnhdQj4y7ca7TEFlhkFAciTgMtlY3wMTMNHwAE7MQa/OHuW8F0RLs4F
l8blQ7mCiDx4TWuOUrkXA4LZXWPOxJmbZe2KbgiOzbW2PHQKVXXQ2g+j4EkLOz8MBetgiOrI1Kn8
lYP953B983BVEfHhbPvfwQ3/U/z4ln8r/vWt+PGvW/Shjt+af121Gf/aPj90//ylX4euq/8BQ5gD
hiMN/RBcHv596LogIaCIo8OBAL9tot73N96B89g2ST+leIEt6OH9deiChDCZNGKcy+AbcX74RP9k
QPS8JrXhROHizJ3BS3OpJfi1Z+lj29Yt/JWp8aMRYVbMc49FhdmGbhOZoqBByH3JTiTdFZTS9Ih+
Ee0c5NrW9SCQpyr1Ve9gORZMyOgGY/xpwCdo/eQlv3B6XlQF51uEtyVkWsAbId94fov0/Mkc0rDx
nRxZAQU8ObY4NRDwyEXRvEZZbbq12t5rQzgxqcXn9X+6AZjeGq/KBlj1/AY0qmVnNDIYpFKRT1+m
YS0ZNCjTBZtISin1QUCX26XnENX9KlG5j9dv4SJXkavkoLqBNwhoDeFc5iqtEWtNhreu3/SIyJKq
PfQRMbB+a4x9MQT79a7hEXMZCaVCkeT5o1pL0HbzXNZ+UcKH6UC5be2ueizr3N2iCBivZyso6ccw
FhzG0V3bgSgOyqTdmwwNMcBxFAg4evANW7dRGgmK93rKgSa/C981p+aqL9BwbnIEOpWKcIYZoE0r
t6rAUkM5o5VG1tdrd7WC5EoU8CLn2vqCVseVaFpOrbhGFazgtKOxOzMZX6KbOfi4jIYUf0cYRXXM
rTGN0+3UpidVX9JNO2THQskdD/4P6l3uT0Yh7/XF/vz6CskM7u+aX744PgncSoGwAm0CBfD8xdlL
IbIwrivf1EELxtP8JQGqCeWiQ2JTi9dIqrsrux7cNzobl9oxXBilVrJ5EAJwsQkjzy+Myr9dtTTZ
faeNso3DrO3KdpZuR2KpeeS4KPDby7AmHQAWPvNBFyCA1zbuels3m7RNhmozmmUumkx8U2jC4kgW
MFks63H2swRYkJx9p7RJUEt8/Z1dgibkvVvok7iAJ8As2pdqHKJ3jWG2o8zHgqTwasU0r8Nz1jQg
szj25Sa1u8zv0Iy+JfW4GnDLkPNppD3lAWld/QpAxrQtzYMlfaFB4yI0qfDQ9szTWBmO3szCvr9+
37+vNYJJEHoZ3GtM2C91DzpkAUUzcNuj0kh2DUEBBYP014turMpFv5P8DFcJ7R91luQu48oGRZyw
TGxQLxWieg3PZAhOmR8MbQU+3mUmJ9U5X3++5y2FX1eR+gUk4zwcAef5liqyKteVOsv8aLYL34Yu
sEeg9Pj6RZwzLvP5JwPvCGEHYHsqLUHtogBDP9e24XpnDI+zU2AHGF5aLclTWOh4O8uU1lVGzpYB
kdZCXeiTmtlJDY3lvsIM0Sz6iHOHpEk1kHLNaSMi1RqKXdayydMEHzV6m/FaL5wHxUJ7D72uWw2u
5BUcKQRfJtL3AUHPraKPiMAytthgE+ULNEzXpjpp67h2lU0Z88fayJS23txa0qMAizsJkah2cPVe
qBVRH3FW9YRc7LlwrVDywwQP9fzIrYytprWfJjTLaFUxdcJY6Zgv8dFM9Pu8WoJ9UKGbY5AeowdK
Wt9HLtpmxU6ZXCGpNe42K+NTE5JX9iUxl/kq5dSAGZ2jsr8xAQNuXWVHa2APGmn4ETTHsh0y9wEZ
NXZgl3LfOpQ/Fzx0NGgb/KAfQVC761FG73mGD1FN5N+G0jjeNGH+nhpcLHMT45sqZsKyZksHrPjY
hpPjYdqBcKCFMzo11tei0fCa63MkJmgvoxO/cBAvlrKxs+SkRjz0EHaOl8P8XcE6fo+Ux08r5fRE
FP8QjiNjaYfAPfZVu0k5QDDZwoE1bzAXQYXSM4JGOtvrDkg3HSN1o422xLLCT834CL6jWMFPwAui
5QTOZoaAuZEfzKz6kKjuQ93mOZ9h03l4REc+yY/OwTIY60xnaYq2eW/Fi0APv39HguEHdnHEAADc
Qo8SjWIjgeBOtCFw4ajWTZ1YayeztnWdnQq30YB9DNd1hzdrnp6owlyf4WvrhQYP2o65Sal9E+jS
ya8YsKUV9m0alJRjEGIpLSgZtR7oXlCxz8GWKzgokl9BnanW85CeqIXZsawsmrMnUy35T6I2Pw14
H7PiFKKakbdACMMTPoNsAgjCKzTTHE+JysNkU+FhLxCvsyU/6mWevevp4KytQXE+MB7eLkl0hERW
7qIZGpyF6KPAtRU3Vkc9WAlV9XlhyAxuWwsd5JR59Pq8d+eRbSMqKAIt2qurKoqPTkDOaIb6ve5k
ro+j2tER+Fym7HCVIQ2WiOylZuG+A/w67MkoNjDF/FlzHiqXRCaqRfrrE8jZYUik3bdd03qmZM0B
blhuionF6mOZbSj8XplXmAdE7CCMpopVK/hcoH4A54CNfhgFUzccCeJ15bBpyy4+nm+c2yWLoYW9
TZAT8un5goCEBPaZHgMk3E4Qrysm85kdVTeli/VijDnP2sb7YLPU9pVqoeBhonCC/TgCVsk0HMoR
ebwkDRJcNKkEoT6doP0RsGxaBAvPwdZFokYucC7Mey2rH8uKd2FNyam2uOugTo7ncNHb6ambyKOd
gUhQJCEXaCldO1nhVxYueY3aUc6PvESKAfKhhXyKLBkrKCaBjIKTQ1Y6qQcy2UFkVk031lI9mlp5
OJ9OrmAXC+geW2QAgz3eQ6dZBMGdlpRblElSmOkoYTVtUW3NSfOIpz+KjGCia+zcgqRrxYz8Y9vy
HRsKvzsQa9Fb54VgVNHY2bEjv5LhbEbiYoUr8O05KPUm4SXq2kcaUByMvXWrlYzN68y8p97BxkXl
U7Gc5DgrMU0ZnVZHBonlVzURyYTFinXYqRw7Vmnfnp9wnNOT/CTq2LyXRwHS8/ddxY2d16DS3NsY
SUOgDgHgj/HghAnW8YXcNoWTrwIN3bESFpNIDPVgNnQkqjBjlMtWaQSb8RzpHDTI1yYwl3I2iah0
spAdcsd3rYMR9qTw/SZ8mUzwF/6WYyi7LMUlt5OrMynsPGCfhyUshGcmfIdTtUz7cySOJ5mIWWHm
jfBr+IJJs+bFAYoK9w8LvcLiTpxp28qOhdOyAH3cV9u47FFmRcH3tnRF6jlmxfHTEhHYw/y8PFf0
lJtqZfIsXZbUJtjg6Tr7egBoOJ15kXKHTQt/Es2sewRrqu2wsFRjyaZrXAIPwze2qeylOANLo7sk
FHJ14Z89ol2vr+yIqE8VVPh1yA/WA1XBOf5mMjpKHyK/SFV9pbglHPqkxcOeCABsWQfGzq42ez4g
e0kPlsVda5LBl1QIVp/TYXSCs00/NumNEmTzRwEPbmfnfN1Q/vQVnNrjea8UXX5Ez/aE6+NDIBK8
PMyGFtLAq5anDURdDsaOTwC9B6jNtpV6FlQ8tB0g/xgd4jqQo3ukKYp6izYwtDyriW9H+OR04WR+
btpbmI0Qv6qSA2/u6luiZH0dG1F3ZYz0jFozt1YYVk0eJpHuNu1HZ1OWLupXNfqBZTvO4wprEQBn
1RIeI2jCDem0EW8HFQezzomRRcU+h9ogPpV1+YhXd7edqKy+K266fNAzXMFEASsorLoPCZx7nzon
9rRAVR8ZnQNJxCCajFiPvahXA0/XF7ELs3prLpRJ6HXK1KAaoHeakX2n9jlOBMuswTIFM5dKbXNH
FnBpRJ5cL82trkZ4UBsTbWU3PPZKNnmJjU0L8yQdGdWl3abAtK+Xhs+pKgj2ssyDMZd6kQp0ieO9
3UK9iXauAjsLERH4abQq12OZ0fI0pDsazkWYEIUGOQpA5yinF1zMvLFBa34mCwlbN5gVcgEFEuoB
4ESGfVedWz/CEEaspK+W1aBb4w1OusMqdfTWRxUiQSrKCLg8ep1Fx48BXue3l6Jfxarab2FX7+md
fw2zcPyZdk20Q/oiwD4niACQW9/BoTBhmL/3WE6D4AEFINm+69LBv0qpO9SGtBiSa1rEdGYFnTej
1AQ1XGyhb6Xj3UITWW9HsRlCA3KTdaeAqWXeS5ooQPSh1L5xQtY0jG5AmV3HyHKxCcePqhj3MMuc
lRMjSOa6ys/KYvPZo4Z3u9Tdxxfqm9kRdZNaReZ6Me7DNNGgJ4pDo2A7WISETJH0rdfEqrKr40h4
7ZTz1crKZ8F2aiUWwlLcxyd1Kt1tFJE/qQGRpiyi+aPeGbVc4QULeU4go7CC04hYxxoDj+xTUffG
tbGIxzM7QlHbxwIfdvRY6uZ7uLgG4Q0xtcWy8X8qSYIjPOa2Y0rGJKjhMAlSMLE7x3FDSQ+yC1yH
BAehmt1GGUrXR+GXvyUregCghAOdz9SpSGQKod7rcEjxj8EGvsnZt6XcohTMvjGOR3foHT8thvvI
YccELrxTjAgJmhwF8j5ly1ul++C3lkpZyGm9ckmzezU6pmb5KNKeHNkU9+0yJbBTbHZo1E7781gp
FnYPMim8K7LxUM3qVwrIeisGs7luhdZ87JX0C5ZctyH0iVqb3f3YENTQGE5vkpG7cciqVq3bkV3L
cLrgG3CT9px4g9NV29F0Hmg5H6s5P5BgTHcLXnBkgfpN1ZDXKKp7UAFtUjdCKe60EdoGNo+uhhoY
jufbDqkfxhONdWuMSXQnGrX6cjarKEiTN7IznxnsMKjBmCQrTkmCxTuF08x7xjH3U6kXDQoL8fiQ
44+06hq2myabV3EI4A8rTgiUxLUALYhNWkfTraLoOGJargzSkvIyDBW5d9uB8xvJMbVlqPwixk+q
bMpdFqp+IFDuVV0mE0p0Cjntm4ZzqC3M21Bnj5xP9G6iCJPpTi33asg2uQ0M4LwhOQHFNQ4M+qxs
FG4YzXfOzGIu8U+WVcsy0SCyYQx7fdg8ljlHzzD247uw4pMCd8FiF7i3A6YO9jOdyZUrsuldanXp
+7ofYjrt6kYJGf5MdkR2R0W/OZ9yYDMKLNYZsYB8dLzQcdUDQj5EfY09PEX68jWH1/+jiScXpik/
gIcjyNqyxxtEYTe5M4Jm2djyK01+EosQxzwYikPGqXfe/dSbmw470T3F6okmBE+VWe+dKfYttHoL
uvYwxDm5kkr5KRtVprEg5BK6w41ZsyJzKs9AOZTpSzghLTkUQSGs7hu3wC+7c/HdVjGB0UR0O8eE
MZqR6QanNGudmt1e6dERGKrqetaWZWPUXH7OkBdJIL6CS9beZc2AKKzB5FBBQtIDAO5u2e0ccdjZ
rYfCuD+fvQgqtOyk4OH1wt98qb1Aj1EDUWIjzCXV0Z/CoIZksIcwmVNfKSg6kchLVmbXPdYY+aDb
mC/bRVGZsfWscrdkyzbS8p5QU30y689OXT0IJ4aHjE0Z9rHxsbeFsrFs+yEdwjuhTcsa0pSyA52M
9gG6L4gIDViCKyhHOR0JcBd+PDcyzzUS8/AfcZdHJ2tCwtPsrHs1XZCiUzr1oFnztLeqKT9MikpC
N8ikFDGuNRaLMfVSCtyzM8m9EJD7VYT18O3e986PRAma66KtEfkIZRYYyfkgNa9nhk5wlarq9M9b
5EwEAHvCJEHaFirk81eaZHGUh2dufUvJ4dhjsG+Z1+4sjaQLyO6n+Bx46eMzouVzU0eSxteX9YWm
mOMyzMDlCQ4m/dzntwDTEA0mbA/9xG4NJpxLtGsb8qTIqlFXVpIGoedBMLSM9TfaVWeFtItGEuU7
uDLE2Axcoi4uzZcNfy118YLEsHZlEtQ97IDU9/GImouxVMjPgPbcBFiTr9AauyuHfPjgVpqP7Yn6
+PprkO3Wi3thBdCH1R2UNuDePH8NvdZjAFyOqW/IICAbBkbHJ432aLdpTOM+Domur19SPt7FJemP
woRkPCHUX8SWJ7BCvYBy2dCU8nFkcjZZPcNWD/knNSsfprYZGLQqo1eMTQa1Zch3r1/9ha+ZOQE3
AALpPMp6/sA5L1XHfaqDfU0yltLQWeMN076xw194rXSZEfREK++FMRWnqQbLyUTyVY2Ndb8AUWyS
6SuD+NvWzb7MHaagrz+X+tKDIe7HxoV1THdfe/5gdYEC9YSwqh/GSYtvIQ3zGKDEFSGBVs7oPEQc
nysIsfT2GK3nUzb7w6RW6JrU/Tob4h/LPxQelu1fOUcEKSNBlL9tLsTem9jFEtVP0uRrWZnzz1/J
b4pLfYka4O0br+D3sROSWDbq1bDVEHm1LxrBvWYrVlCkre/E9m0DDdcrFLPYlPgrIwrKAawO1jcw
KB8rkV8h7vARJ1llNcTjDbZoPzpnRFnOjJc3EHqX6ua8BhMlChPAEjtPxWDu+croaITMIX5Mfu4O
9GkykmerJtT0AlZEr2lXfVkfIppkn/WuqrZtyRIp6NMgY1E+qs1EY4o8DtCppkFQLsBUWPrtqAIF
75Lku9XuzA6eyGKQgnQ2zgT6PdyjUx/iBpOHfQK7ONxENp0aGxbrGiEgD9Qx1TbKL4iHZNi/5l0C
o0PW1kIgzBMUgOEC5F0G2cqSY7vzwYbvY3P1+pJd8qJ5N3KSDA8RlRxIf5fzXBcDUVTTReWHyLMD
2q5DhFRCYPljTl/MrtEtifSY1kFurLphEOfHpLW6lhbYJIQ2rdqAk25BuXFfiV7ZmGBBNoPMmxdU
O7ZtHi6Yt+YoKDt0QjH5eCuenRGWzwOaDVoKYWHkthhKi4vTjF4Gcb4h2SQpbVeJ6yhYaqHsUNjN
Y6+BcMR7/YDobbNRExtF3izeNiPcwNdf5e+bH4Kmy/ZCzAJAKOaFz9IUaBN6NWB34Vdzs9dGXoxE
vcTFYL1xIe33SCO9UxwXvgbAU/sy0jAFCWrsfys/QAUlSch71DmVsmhdccoW8D14fLN5ZXcZN/Zy
VQBbX2m9O2NrPSD1VUVHBL+PMfo+Bzun3kspAc8gnFLWjAXFO/3tA4QrGqcZbTgFA7Y3ZnkvLRoD
PAagJqYzwNku5pAFlauG12vlR22ueohpxegJTdU6b8k6ob3VG33sf8h66Qye6evoNOfOGxHrAkMo
dz+wCOaJmGkYv6MZ8J9u7UpVK18Y5U8dddM1r4EOcgYYapzfupp2Aes7Xw6ajcvcV4cp4VwkHnqp
4lpgaRXzS0SP0wrjcDmWXFotXLtqaNLAJaGG/cQRgSbWu3wpH8upTG+snOTeEOGxctQZ6Tk0gQcK
bwTRUEI0UCuCDtcON4k+vmFm8/s5akspeQbFqMNIGMnzTd2Yk52jpVb5tjIDEm4rRJTxgYRFSf1E
KxsEmcjeGFq+kPBzNXYEDB0AyjB+nl80I3UYy1pD/yqhsVkjA0khPsH9LI0J1mRHPzXEI1NN+6uW
9tS1q9OolD1D+u3KJtdK4cUFLYSAQZHXpYjAsgHUPa0VdYvx9abSKTEjUI2ebnaPGI3TTZc9kUKl
cNIYP287W0az2KRfK8cvhtbHqHMCZMtLZH+MBZB5iEvTGtj3xwzQFUaiDPUqvKhXC0OHbWTLZD4Y
Xd+UE0qAnvdnZYjzbKPMoHMyc/suK2Er7rjcJJhQBF91BeXAqmrHLfD54v8SNhAcAMDDTBgRj4tU
s3KQv28MwkY4d9Ed7BKaApQvW81ErJfGcskZSJELvvFI25xutslCF2PteGOvZbhlN+PenukRnWN9
ro2MRucYcqzRos/YddqX82jTqFQXzE+Ofynj7tsoYRFej7S/J7BgY8kuQDPBMRCX6vVNaDCCRefY
x25xXvUTJKPclp+EEQ3XYePma9dZ8i8GDmUeWND0jTPT+D3+oihjmzqYF4A26iWEwnUm7LinovRF
xhSt1JrpTk3p9zsZnXC9do1PRWXmODxE6VUPIRWeIyfkpNDHjuU/mWlRe72wcy9c2KacXUyUbAZA
FuaKQu336Vw+ItIYr8/zB1obqkKfL5iSTRREwCQrOQ0wabInNCV9kcse3yTbuUsV3zf1aHwSmelV
wj00gxavTGsxt7PEvOShe+J/DD0yRfwEx5z5hQPAJrUZN76+SC9kFugTwt/B18DgVLbkW3xSZgzM
6opkjEq/ZkhxHhDkCPh6uspEqIr5DJcuQ+kwRXdOpGK1IO2GjucnhgfV1XkMswhAtVXj6mtO6/tM
xrfaesCWNmYuXn0pmOh74cwswkbQ03/97n+Pe45mkVHw3QvK1MsSse8U/DVpvPhoE/pqwHxRhop0
ph157kZlQf5G1Ds7czzNYvBVIw7oFGXAHDjYLw5EiK7B3KRUgrS2q9VcdZIvwnF8nsW05+XtGQoN
xBeQHIBGejkGHDp41jpEmE1TN+nGBMyyAqrxVvC4PCjPN4dCGOosnIC2Kf/7k8W0ZizYFZw8/Tiq
AXA33ANy0EwBGJdl8q28/vpfuJz8xEEq6SrFxG/HDlw9SMll6o+m3LVgWGeFhMpo2TvUjm9lkGeZ
pufv3kSSHFFCCWTD+eBir0bNwLSxiSM/iiLz4OK7TCxsbG8y3C2jJqw1x5SMJJa4aISozF2MOuZO
VZXi1igN+/No/D/mzmw3cizLsr/SP8AEycvLAWj0g9Fog0ySmWbJXwj5IM7D5Ux+fS0qo7LDPbLC
q14aDSQy4emDTBTvcM7Ze+3Cu6Qk0dmiPxOeOAXK7uyNNQ4qGFmjW7or7Sl365Kou9ne1F2ZXJci
RUE9FEw3l67cQeOkGT809jq7voOHmx7THrANOepqq1UmCTmuW0OyZpvztYrQMyuShC2IeDhO4bij
I6mCJlIW4RqRuELLQV57n51bcjfg6Tlij9GeZ4igHGe0lpIknUXnkjp5t4Aa2Oal6277mN+ITe2r
sartjFH1dzMXtV2RA8VxYiq1cMUDZNzo6Ag2tNUT5tTbMivEFQJViQ4s89KtXahyV9ZWctWnzTCi
tCgzumShgA6pXGAdfAatDsnV1B7qzjpHcWJuCadsTy4eJNo/i/EFE57Yg92Wv1lo4teLOm5KLmFw
NKgLkeHhQvnpXfZWv4SWc8qjoHAPn3WPyFGNlK3OZJu7VGoW+rlWqiSgZ7SIdp1BO9TrD7DKrC0+
CJv5Rc+93mkcEu3z+FtupoKALGVjsxhtWkqDFcwa5m/C2xiEl025Y4hg+WtXYueKRXucq9G69tZ/
Pq26cxebj9JBbTJONkoS2Yugbwrcw2nr/qbh9OvhheyPBcUK5h7DRqP/8qqzcxpSqMzdxc2ybzAI
0CL6zer9dfP8/BIOCkPp6fiPf3WvUIVJGgGRi2AgrcEQ034dGqIBs3pBDNKRrwFF/3dV0a+XAr4o
eye+Ijrs67bxyw4Vaa6d2nHj7FTlqIDhV+PXi64Yu+EfcAUjPQ1+9rFq9NC3uqz9TVvL+PVuDwFu
vSCTZ0lnFUjaLzflGTblkBaVs+vtWmMun7b8tMWyhcTLFwyld6y9zt2z2z3Sdsj2uWUPT3+/a34q
4H7axtbPQIsctpCL6HcViP95l2bZNI7ZaPYutTNy7GbVHgpLNBTiertsmiHxCPbR23didsNbHqR1
W02oTsvOdB+0zFm28eBgtx2tdNcDMHjVW5NHqVpud3G9K7C634+QScGZOHw7XexcK2XZ1049qmcz
QpVAWqOR7EevuwiHzNp40PLfXL6kyffw0/fIBRZwFr4yHPzElP5S7M9k1FiKI3TXs6quR0EAj15H
hu8N1XD1+U14OL8v+hg5123MbzB4DH2PaIVtbqAdWbiCbQW9CF/EYXTwotjdOlVKeC16LhAX5keN
FuOgDXiNexeYTBKJu8wsRFA3yXC1LDGcCWU3KAAW4G6TMzDVBhwhCb5ZQ9wCMroXFD7VOmMvtV1R
E3PZrNQYoC67rFHt7cTf3NX2gMQiju5nTWp4R8b8Mi/189Kkgk2ov5Ij/qjFIgYqUvFwYyZO96pV
f5Ap/0sOmfjLScvjpAmPptKhFYwv7+dXpva8MFmom3Zg2Omd9FrjO+lwnUTjA8miIXgEi1TIDtJ7
Ys+YWeh4+ams3UMGM2EDVxoTF/NlqCAss7Qc4hMMGVDnmGAYL3vLiX/Fvh7ImGAibJUHGkk9FpvY
3mf68G1Ja+9Elaf7eodkT3attVMmKeBFYza+ZlfPAHT73TBpjwUN6W22AHf++0Xza6AdeE+DmpsV
SzQZC/gzF/JPV5s06WabdorcQQruzy4ehS/mNDIE44NjiyNOO+grt9t346TthFYAkFlUfDLSzgU4
BfE2jcMeF1pVPCXRKu9IWHYZqBRIsDLVduZY82LagI0bxHFbveEdIaQ19Y3ETUEgu0Ywk3M7zbGB
lsB6GAfxamkGbGDPeQjj5Du1Tg/cqelPRac5hwjRxg0APffScZ8M4pykBFI+KMfLuN4WpHbvbXoD
e4uR347BJC86kTHB5OXiNz2cf/fuMLmwaHqz7/zlUjhPScyMkncHX/kHbgP3sq6VBk+VT3TS8Js2
rvOXkwvCphQo1OjkYi39Vcxc9PSq9L5jh0VOtSVx0ntFWBafaji1vr4U007oYXob2118Mt2GDa/h
+mWMPPRpUNzg3TH0mSa+DF54PUb2TbjIdmeg8pls4ujSaqtm1vWQInnlz/o1d8Kt5vFeNinHhzmy
mrm2f1StWu7MCjGfoQAVGlXVHrCKGUwOp/I6bXU7yCIR7WIk8U/jkDf3DPzBMJvxcFcnCbxCE51G
Zhm0uOxFBSQADDeIubwjE9m7Dn/Mwctmdo7F66H4lM51g7viZtTZlts6y3bt+nGYmObrRXx4kjPv
VjtwzGgxyW6+NJ10Vyni7lWnpbemXoHIBxz2RYQOgQEA4KFXxpW285qCtjMRZDu43WxGjmEHMb0g
bqAsiOU3C+3fvC28JPRiVj36ekr+vNO0tp1nRYQq1sWoyB7C82tgoPlLZVVbR7Ig/n5h//XrMVVE
kc4Vi0Jd/lql21mJMnip5C4vCi4gNasB2Zx3RHPkHuJFqt+sBuOvF0vKtk9mBQUvwzxv/UR/2klc
5G3KjCJrh45JBMmMMtTAp3OdFAyiykWPTwCckyBqbQKD++bQtGwXNhCsoCpY/M5YMgoYndCfqJwh
c3FQ6QM/arIJG0QJRrevFd9KYlfNfdGyXctyPdxlCC+bnNUL+SrvcOIN8JoYehOTl8428nf0iwTc
2KhC0yrRthG9yUdoE+1xsd2bfIizHVOGD8IXINaN8iNz8ncz5rNrejftZjdcTvS1zMDoJxorVfMI
f46dSmPn/zxa64yrVoMn9BVFmSB1CsG9gcgXjQiryfM4JWNewVMV5/pp7KxuX9nraUpwlB/V3Euy
hHOmL3pgnutanU32j6boCVNZ2N+ygfd8UbziWdO0B1TxnD0Z226b1eo5STKgZCVnZt7wgWoHsyUd
l4Wo+5gpwAzc5Z+/m/O+g4TQdkB+qOYrlCHb3hyVPyEt2MzrqZvGZnu0ksxhsbBdJMbIfaCbFh7i
1B7jTndvDMUAv8/5pddF7qF1WKFlzB8Bfks0dugBlakQf6P57vZN1Da3iYGKqOzCinOBb1OTRno7
aMuyrQejDfq5WiOPQ3y85NgEhP24+3yxn+zZ+Vag1/Wz3DKPrM7hGk+NCNjBeIvl7O4HlXNlSbhG
fy53WPcLbggYYprGKUBIQ+rHBc8/9kRH0c6P43N1/T/zfa5f6FvFKCSJkPX+n//9xxdeCQU//SL4
hBPc9T+a+f5HS/TDf5oX1z/53/3NPxAHv7F0GvAEDHuVl/yNp7Ppy/dv8Xv+vy7N+/cfbfxnJ+f/
/Qf+sHI6/1hpw7T7BYAtMqW5XP2Tn+AZoKvZJTxp/Ir69P7BeQpFl6Y73k/GO/9ycpo20AXgowzO
EcIwPDf/J05OCotfbtJIINCX4xjFCAbS9FdwiYqKek44lI5NkkTpoV/a7Oy0JChtRdiTljJNfZ4e
irys+41Tk/8EOKDs1ZbYMPNIXywNoKw3xyUupX1j6DhkNgMs4n6DpiR5I3YWmmHk4qAJyH6IrpbK
xugiG1MP6OeJ6LaSskiADM31G1yFuNxWRkKIBKd5RB0NWdEN8Hc6z+3Ilmp0DoA6tx4CoAZElSWu
9bVe5owcYkoQ5rUEp+Rb0hzcxV9A6N95BhDnw0Tc1uKbkz6bBzUR6tkgC0N5PGC0uAhTwW6z6hrr
xyyN6KYEXHHHPa8ON5kawAwY6VhLX2kKwqcgxPIjTvRqQS7hstItS7Puyzi08KOFRfSq8G+hKXHD
mcwqrbvUKbnRKC7L3nfTGg6haKzhPU7b6ShdWdDXqu3kDd1He2hCi4N7rHSdOYHdbMfCtI+G0aFq
LrmzbhCvmvZGYFZ47GxzfmV85HabkkAI8tD0KjlAj6VcEEuT0XWa00IGdeuIG7Mwxptxgq8gCjD+
arGS5VYkRW88mJxRQO+sWUU70FXCexkI0DjOCnBrkHuA+vyljExFSJOhkVSRRwSxHlXbSv3srs8l
C9QiyBpM8UG4jy32kPU+wnQ3xJ75yuwTL+U8rA8rPvZdTOZCWY8B/4x1AqauDm7mFvPZwEQU+YUT
D8Y5clwmz5oDGTIdU0VwxQoN7/Xpvkv0j3RWxHVkyKhG9jmIsnSH6SGZm0YZZMn17ewPc7jccjST
CygSifXB6nZJZsyoBxGoAwKyRzS4Xu880Fglx0kzcDauyGotJw3LSsMHrlb4+/PhxawFlY3NFJT3
A0Gf/G4UxbEcmuM4ReVey/Vine2Y/qphDgQNvJvIFOWVzWtzT5qCdrSnIfOhEPDoYGHuMRutVug1
/wqxQaRZPtHA4AVC94YCBbiVBZCpHEiEyGM4u6Zuxd8t8ov2LklrL0kny9tBZPLQD6uJyqvw/Xtx
v5FDG50zt3YCqJjVvdNY1S1zVObzmSTzhgnbKijTw6conx6yDj7pTNbLce5HQAmO01zVdrzyDcgC
diZBtmGV4tpOBTETRsaFifAv8r7DnR3mAArLMdugpzI2Q0grwej6G8V8WKFjp9OSkq39mMf1Zagb
lC36Mm56/CXcnuPuHMZ5yy1l7riroOiSRYq0yuQYa/xoHu6pUonLcrSHsqx/9H1yydBXbGSIPSXv
CE8p09Y5dx2rLHI1hHr8DrPtrHylm1uzGYlHa+D9n4EOySL8nhuAMfvSu3DS6j+aNOFNr+pTbTvE
nY3E/egeHNMmmz6csjv1DFB9NWr85GuShzRCJTWEwdFmyfsOeYPEyS1A+YqE4mOZq/Y6jTUHUxg5
gBT6kz86DlrcWS6vGp97l6bhQl1mqT0gi/HGjTMU4a42PqAvfrC7ML3KZeHgycgHqsPGCVxrsgLA
8+Vd0yZtQORhtGEUvNyiW+otcKCTPMRGCOCBRm2/JTRF6L5lwQ2fc6UNMCTM+TlJu2ozi3C89Twy
buzMyQIvlvJbp5qPWgmx1XtXXU12KHaxAd6Coh5oRTYUFwlJFMdda15NKEO/VnVZ7nRqV755SLoX
q9MjxLmgC3kT2Ak7pDyBnJX7Mnpm9L3OBqTIfzpVL//s5/wUbvA5xPtznwcdBzNKynJmwGvZ8Euf
sqoaFaexHh9dsx26bWiMhb3tkmo+t3hMnsaqs9jjKpwFoyCze1NCpHoslTbTPcmN730E8OuaLqth
BFkn0TCY8PMwR/HTR7xvcEyN+ggEMnZCCmgGvAX8U9KPj7Iv3PE84d8H9ZgtI9k5IrufcSEJAqs8
e5CnOlncm2Xps0vskuRoqTpc0zWFABlrdu1XdNHrxSy2X7J2JpGnzGYkfQ5+5Q1cLBffh4NNwQuz
9jiOzrzv2d9PoGimXU622GYhKO3A5N27AmpCQInJ3U7kOMhoL3TPcMzqrQ0TFAs8jXSusiDyOu4h
DKFliqibc6tzKzrxSBl9e4SmeXDtRiPxaDAoR/eIWIGiTVjvDo0+y+LasRLyGhpS3Ji4aT9QeM1X
bWtaxzyq1OI3lq7dZ5ldB1PVyXMxt+LSijh6wPEdLORQ75IEtqJRLqtFNjWqc0H0rO+iMT8jkZUv
pVaL7SBcBZZVMRzvypYoMAamtR53O0HIcyzd0m9xiKbzafC696oz9n2MQ8GkJ39bp1+HgSpaM9zr
yqC+kTQ6t0yk2vtYz/CNVTw47ht+2a+wFDrr2gGmbvLOdR0NNzBnYELDVaeV9+bYJ7dxWMSIv4V9
GZL44NCcPXKsZPSg7Py5ceoq3AC6VcfF6ak95rodgjrCFIOVoHxNZ4QGull/hTgl/aax8CstWHAN
3s2zcpTxkETym4NU4b6KWXmoWPrbtpNttNPcmLw8l4JtObqEJ0JOH4DNfM9nq36lH0yPzM0cD4Cd
NcjbeqkHk01ZyunFWyaj33qFXr/PwHLeSA6ylgcZambJ53PU7NuMNd4MEcW3bt0JovlK++uYhs5q
8WGaEAFv/kqp1yJztwcIMkYn954G59KJCR40i9R+EELrvgnUF5vM9IoHs5z6OHAY0O4lZHE/V70k
RyBubnqyd+ENMQ37Igs3utetzrqBLMWNQI2c8/0YbW0L0Lhta+6jotOxsRJBojsuK4fjZIqMw6ir
/CoZQRTz04RAt2lzLbsnM2scfcZcgvzQJkt0CqBVG2dx4WgDNruaWPSJ4L6IHQvlZLP0ymduGt2C
CvJ4nGbKse8gY2eCrO7nKi1e1n7yD+LU+gNXLxLhZlEx06lVCsOISQ8LoS8P9ewt7H4uZrsAHlL5
bEs8G9mcidvKKob7KPW8176lck4Ki35JE0b3i0bawkboTfnAx8gejWXhp6sSjqbFyvUr2x2BFClL
YhB3W+c6zvKh9BtPyQAoRhuYjfk245S6ovGCe0Kfs/Qt7xLndQ7Hj6HuNR2W2TAcDL3cmXPC0TXK
VO6zbJ6+oM1qYpDryKKgOLrFO97W4YE8Yes1nBzg3mYxhPUmak2XUBUMbAc6Q+LLkuEj5lDS3sDm
p/eJEXrvdaumR8NaW1c03TNa+CZRMtzCgfSm+pAH9KDNiOjxjEgmsdjfettKD7XWd/Sv6JdPgeyz
nnO1omnsW1M3f9HdRiOzAyzApgxT4W3MMsxI+EvVjdU741aHmP5dLxp8B3rXui9U7E2HcM/UxKnK
iEveJKZOkFo/zoCj6ykp/FprmIx2HBZv9I+KBzm62XEMsZ5ZEZpFfDgWTTArLAFTeNzENuPgtVds
eoBe9JlUeABkqpg3chrNL51Tz9lhssb465xWFM1FmA83dboQWk2MGNaizGmXk8sdWydIJTrNE9vL
DtWJ851y1rgOE7u/ilOzyfbMpZZnbGNmHRgdsGoZTdpT2cr40tml+7WajO4BRx9NxvWVpHjKCIdt
vIhFWACRZckr3hG/oTd1jWEGbiReZeofcslIn+8iIs9oW0cXrAOwnfREO8/pxGbv6DGSuWnJtY+u
t0rsZIXpEZba6vJ28RKaeAw1hxuF0e1tiYX4SptxxqOXmuoHyO7sSARvmPmE5Eav5UTnepehUYW3
YlkfZjIMBEFiFgyKLsForxJnCkJo1cOmSTP1bKB2HH2tnIoAIYlbbThEx8DL3DnmdtBOzPripTu1
TeqdaVZ69zyf8nbsDG6ddtu8FWo0AjcUJXhgLi81DHlVvxVd1alN4XZ9Q7xnIgMjGqdjQ57MXhTs
ANtU0j7xU8Qq0Satp+qM6Ts594kZHZQmWnczWpE4NCWwWD938gFbcpp1ph8nFn2hsum8Z0xjZETI
ynky4FV+pY4RFdS7xLI2CjbczKuQNLfNPM002jo8WHMzvpq6/jBonXosBkWCQY/25wzZQa8uQzbF
h2Ex5TvW3zUldM672yQyp6OSI2DPyWxfeyXajynS3WKrjZX7UOm4thYrjZ7nMeckygYnPoKBjlHR
Oi5RcZjTsh0XYe0mqtA17/paK48xHSZGBiJ+agiuuZpL0TVXGRyKFN4plOBN1LjjLekMzdlxsTXk
MPNgFhTTBidAe3TswX0DqzM9NFy3pq2B/fhIqWRHO2MS+RENftHsIPMV26Xn7cT7OFfOWRnMX7bY
CCCaucO819Uo3slPbY4QCapb3cimzeg5MzajxhqJI7BqbmAxzclo4yltumgN4RZJLsdvjoi671Gd
a0i2UrdoMB4Sfgw/kUONcnbAvFR2jo+mX22HUjNpQMjR4VqUzs/RmBJoySMmI9Dz6pRauo5hfazZ
ksOG7Fmi+6JhEVvNcRUpvX33aMk8NWBCTHS29VwQXxHh5t8gAVE3LsHEe4Z4q3+8n17rSoTZudAK
m3e4WffNOiHfcct+LsA2MLK6QH7mFjBQCSf7SVkz9wunWrPiuBUhhDGrAPX2yMuce8umVl30bWkW
cWpdN9MDbCYLJsMiyqJtweTxhO5K6UDogPNfjfmgRUegN00c4B2dv9Qe1za9T4unSXnqh8xG96hr
XvkiZRY/e+XQk8Vq6uN+1DXjWBk0VG176o/E07v+guvyIzPGmYoY2STm16LMJ1+17rCdjbBFaii1
PUeS2jJjoI7TKcYK06HMj2imIBBz5DcLrfzq66vl4+IZKP9MisjIs68cdA27OWeQBBJkeRimWb/N
6c5sTS2rNl7YTuSUTGl139pe+K1aavTyslEPuT7NnNlt2+/6qtOoFzuR3C80pRiUx/mL5WnDbU6g
xmNVOyV6sAUbFM9aPycOCjuvrMObNtfl1cCCf5w7rv6Nls+HyJkgTCVT+VG5TnmWZiMfee25CafW
lUFX+zgZYfcadYN1KmxjOTmLgYJUiv6IOh8OQyfKvZmpTevIB+7kzR2ybXUCtID+pxfVIbMT+03n
J/c1FFAOqYHkbkisZhsuRnZd92VyaZ3Zp01FiCYEkWgzmvQZiHONPlwrfgoR/R0sWQdFkwtUdt7o
V9SZwSxkcw2L4M0b4JOorB33Xuw1ASMjXPs2eiPa5i8eGxbt5Xo8yjb5ZjhMBuhWAFtr0nqD5p37
gNlfmTGhVXDN81PopgRXlHHiR8aUf0ENXN4sFgnaHmnwfMi8PSBg6Q7McKHddwQt8P20OyexwHPC
26o4PP++jPuLKkKXFiJ1xvGWYYG5s3+Z1mtsv+XIRnI0h8Tk2rne0lxRRbf1WFqjL3mFZh8lgrGp
iXLYZXPvHAHLhb91vP1l0I3O3EbetfZW+R/h/uJNafoQQynxEccZhGQ6tN1XWuMjbKDB8tqz65aG
fSEa2GGSsBTj/TBX1H8QJzrGswPrO7aG53GCp/wyzGYT7YrUo38mYlmod1uiCN5arSZfFC7cC0N1
nrwt8ldXgdoXnw25YhyMr045laVvUjW+0P4g5KHrxIM5jNq3Jg65ePeEIDu66NegpSh57RKxmuEG
68bTE5oCABdeCFbnRUni6Y4UlxSKC9afYF707AR6oNmKuRJcJER0HrHd+h1ypXvHKeYT2mJx0+cR
xyHc3J2Y8ldTVPpdZ0ZXzkjQqbk2LZ21fVl/djJxhrBDaui944CWq7yvP9ue0WcLFLGX/lF/NkZN
SznfoUS5l0lmzf0SLcYLQkKlNgoQDe2v9cI+dbKHLxa5CREB+fQEp4f3lNRcbvfG503f+7z1k+ZC
BZAM2fxNlg17JxOwc/pZJxhdJQ4h1oBNh1fSREq2lhN0k+x3JAz5Rmaee9RC84kBSX+sJ1LNSSWQ
QbbMklB2r1r1CtQsaBEoX9y1kinWmgaTPb9c6xxY3l0cuAvnc1rNsDuMkYporY3ctUoCyJtsm7qQ
e1M19CjXjqjPbqJ9zT+LrGmtt8gJsL96aw1mrtXYrNHeVlAqZjKWe8q12ovN5cGWbfYmzbx+JzRC
77clPKIJTLriIckql7fdQn25H8mbQS3oqfq1CWu7/K7Fdp8Eseyjj05gW7r8/Xo1/2LLoN0CsRB7
oMl8goA7piF/nmH2JUHBMCv6Y8Jd66bWpgh4TaK2bSOyY1no7lG5TTH6YV+FwdSQ4pdX4XU8VXhW
NXvEAdtFim7aokVbOgBlvSmLbLyn6iGs16JP+srIuh42USLUgzWCeahN4lKiORlx5U5nhIbnEa80
KIHRGK4NDHUdA4Up/IbuU+wAS9pHO1bZHaQ10ponm5An23ioRYyUMbyAqMOcHUYIMkS4M/TogTUu
bnEJ31CYYc/WLH1gx9MJEaBf13NkK9c+xImSMDdsLqicHfphqJ38YtupfsGzgZavsmT0iPSs3Edg
dwJSIrRoQ57OSO8NJtYtm4u6uE0LkIWbTEfMUQ1Zhn3VGwI55dnVovQCSLEB0YECvC6/O/2a3Jm5
PRdJ2V1MbyAiKBrDbSXSYdUW5VsPd2qBV9sJ32KmCm+TBLjuj0XV7MIui/cJNv2MU9dymFmkHdlb
c3QoXcmSs2xUiLNsMDXMRTp8L0KPyLGc7Ks9lXCZbKfWm1ehJyLDjdOTim7rTXgXDl78tYD7g+4y
SoIwLLX7ic4InYIEWnEih6s8RRlh6olxS2tx4a3k0pmn3nRCJKt98WDBBfxzHfNht7zPktQ16fPW
6kmfQ1YANtPNQAAWsRL1EO9sAtsxxclhN+M0extMI3nU4tZ8ViniR/y3euxXg2Jrmsb0bmm7NVDI
EifJLuVbjtMF5FjVuEEAmDixkT6VeoshBn40qnfspdZVInQrp4ixw2ssUvredmKdde2l4rouqgfP
G8Hb5DQo7M+TCHGXdWdrTXQzEixd0N7R+3CTYpl1L2W2srDrdYhkfM6TjG7qFz/8nDPp68ipoau7
MNNeJ1FhmzOV8pI5BbBUml+Nz6mVx/zK/JxktUhddgygnef8c9JVEgFDFFwyrggHdu9yy+5Wv0V0
95KDQLYU3WJMNvRgPce+W/04EfY+ma7iIsC0LV0H2pu6mfhvKgNh30Cta45NDvluHKVxRFXVca9W
BNlvem+h1QSbKksPqWu3zL9pYMhtQybzSfSC+4T67OlOa3uXAJlXkpKR9nbRI6CwVzJAWCBmymTI
Sa5UuKDgHzxnVxtVv35qMC9MSk9TzIio1Sp5qLO5ff/7jUr+OrsEAUgUrWlZEHERrq2zzT9JLXQ6
8xktUefoRcAjvLPKmut6uPv8Iv+jGfd/L5P5sSr4z+cQ+19D7X+Osf/1y/9/ZtxIn1Gm/Ncz7ptk
qZr3nwIs18n2P//avyDFFg5n3L5ovxx+OH+MtSEUr+pqlh7eRBMhyb8Ixab1D6IlsfsB/9fhlK8h
J3/EApjGP1Ct2oiFkerwd8kL+c8h/x+Tgr+NsORr/CQQldBUUYbi3mCkLfngP78ak9Eu0KWK4VAO
VsWloKz3o1TFvkmNW4Hk5piEA+vFoDCO+h9maIc3kaRT9adH9m8GGOTJ/pvPwQwfey2GaIvW2c+f
Q3iRVhlVOBxYEfmhc4ydJTLwyL7dI786MQFV9iUE1dUndP9mGsQbMwpvUu4gG9WIx16B1DMPC+dC
civ08iRS7JGJ20nKJzxZtnOqjZqKAx2pJbu7uZ9xqhBmJQEFMet5GgmTmcHqTmEZpEV7mbLpPGYg
LQTdKETCYUtztIjOWloXkJyzxz4RTdCK6N1ysmqr0/3eSvbFGh5cQ/OfL7TtXcTwbFOvbVs/ihlB
azjDsRQXEnNWtGkWb3iwLZOQ19hmWBhVi75jgLipJhsOeWHsZBz5s3lTadXOVgKi44uWLfRX0wco
wVdQIw+mcK5K5sXYExgJqodpkm9wap3NPGW3aLD7jRUN0p+syj0ImbzgNbtt3OXKnuSPKk4Orv6F
SLsnOtfMtJybRjb3dmjsyTUK6HpsR9NUG9PhYwBX8ec+C1YQYZUP3xMlbGQQwsDPYH+Y3hIeW2nS
m1lEwY6I9GFylhN3hBvNxXIFcSXfjIbJ/d5+KPLo2Oj3ben4eA5sbNLjg5qiC9o0+oZ0qx6Fl4Es
mgMAPp09XqlUPBVAMDa6ZtETe1Dl9DEU7nFq9bcFIsaMfWsTj/UrESy7WSYnUwmJop4WQlgFneM9
8XptMgmnlBoBXTwp0d0QzPpwG2nha1gvp8EW9yi1UWU7/ZMhUEYZ36uiuG314dQPE231PtpWE3Na
pgGojs3Sz0LuHVNH7dj5poWQWadMcHg1VWw/MSLTNwCcv1f0v8FpF9uqTUkJBKhSpN03vSMILdRJ
iaKtQfMzoK1NhRe/pIXxaBUvTtMs5xSH08uwFKc2s+7CaRj27rz2jcjFPFqmvcWudwKQubVVeSAM
+dXuwx+ZVt3My7mWT61V4LVUGpEQtX7HScqlc1yOdZS+WEY5MhyvtkMaX5bQuR4mtYVxshukOFvz
XePWNzhO/baJOWetubqm7jv0vRFte5tm7RTmQZR2nLVonTvaJHhIZXZw48sQGddlxWXAO7Yl6Xzg
pzdsB5dkZb1C+H6pwScvJNiFSxKkY8mUUDOaG+UZDSsnyxHsiWAmx7N1Ibnm7k5lF0b+/lgbd0SZ
bo3K2uX68kyD8DCQ6dV08bjBAPpCzplvafmeV8PZ6mBtjqLqLaZ4eu+Hg31b9cZVbDpcfJenZDDl
VvXOG51fctdpnmL6A9jKJaOYzo7Z7oEV+eXiOicSWwM05d/swboYIb00KzLPnt6PG8V4L/GiI/7G
L2Wmjkkvv1cZqSMIXnERAcEzq2KX5eVBlvp4zewZoamDqQ/M2v2q8/KXUD9H8G6C0rg0RHPrrc6T
ZygX6drRrZObIinHLSNo5LXNsLNmBpiaLS+S2ydBHqgTyvoRmdF+QFfjJzImpKqtv1bS21qz/VzQ
u7X5P7Zmmu1yJNbbeapQFjZPztKcw7J76+eiZlbex2gB3edlnB+ckXHU5MH4605VFG6Gonmkn3Ze
hHrrcvnF7Ey6UuG1Pvdvas5estkp9l3N9wGbYtaqoBkYczqJeT9b2r3n8ngKBJU0nK5ovCd+DzVx
o6C+IaBt0oPjjseRUblpiv3S1B8iK/Zln767Eb5F5hl0WmPzRjF03pSqnnxDuT9Q5z9PEqEg7ZmA
qepOiZXZZEGVRciSbVqjPLiL9272AKdU6/H+dTrRdcgWzFR7Mqn4V6BswAq7JVP8RXklFl5sMFbR
l75etO9p5rAwUKDE3fgf7J3HcuRImq3fZfYog3QAi7mL0MGQDAZFcgMjM0k4tBaOp78fcrpvV7f1
tE0vr9nsyqxSMQJw/8U53/mB/vkKK/CuDd5R79vzZOr9oqF92DZgFc0i3E+h/YXkknV1DYKSSdpx
4mPVguBEXbhBZBQhFGGWr2YFsabZ3lLW2NfrMVhbDCJ49fYt+os1S5lrXSK4UjIkCyXWTrbu5ADF
ol/oMbbNlN6gyQIp1cLHJu22BGnVcCL4JJN1LdxT51v7YrIfhgblUP0gZLtMgJ/tCqQJdBQPwvnR
WclzkDVk1NZbxkcLVLTLquAQ0otg08pgW9ZiVRbvssnPme++9rWxH1N/1ab2YWja3dCXjErzlYGG
ns2j2OvRiPwrbheJ+1QFwwpa405F56poXxXT+mFIdxAv4fsab8gVL+bQo/b3w4Xrb6M2AA/ZBLtJ
k7PovL6LoP2oE3oIaZMDI+pXz69XTsp0FQBy7pu7Ie0INT2OzK5RCEWg6upHbbJOauTkKkexIK0Q
wLDjXp1RfpXqEPbuunD1ixy/iTo+Y3FDb4LWXbe+UZmykiMbt0uNA/Ub+LPoOzLzXzK0L5Zoz5ao
d1ES3pHQrfWOoB+n9t+8GJBj992iNq0URyc9ZuPUZ6caeQmLN16Rl0o5D2763nvQ7fr8PcQj2CTx
sdO7i4va1QKYsjUDecL/8gpuFhVLwUhpPHfgb1WZXSone89CLSVL1/703ercd+auGNWJLjMjPcha
xr6xy6wG30D30U3dGxjQdYpqA4sek/T8M7PUQWoAAINFTkSv5xTECIPfbSAHZSmpujHLn+iJXGuL
Q0HijeRY7jA0tRlur27djtl2sE5T7O0HM73ofvTVez2aqTBiR8D9WTBFHxG5kMMmE/0EHZPNo18d
Qzt5rHMBGlPcuowZEAq1KGt/yFOeHs3mOQYPYFXapmxidArNDtEwAUQ9PubIZeo0metc8mPFV9xV
eedu03HYsZT8BZzjICOWkBUfYG0e7cykCR3Tvc+CKWzSgz1io3TFSz3WnwTeBuvWtjOgtxKsmYaU
Kmmn5TgvCQgYeByY0y+FbEC76TqFTcGaouitJUjfh4Q0HpZgYEBs51pK8YOFyk8z6F5JOtgCRMoW
rl2/1AlpxUP8Erv1GkrnUpBpHY4UM9O9Z2necfACxl5aTnarSvA0QbNVhrN2e21phqd+cECEy/HI
5JMYhmLpD9+pzJZgE9oKCiLu2KCNLjEb2UitROoux9s4yU3RwPvKLxXr8JWGj561oeT+iNCed7eO
q2il6FTjYTv5z6FrvoaDfos6nfPA20Z0o9GcAIQmLrKvE5bGsu6Oo5499sY1s3iAgJNO0bumy8VY
Gcmi6BAHxJ/D0O7EYB6jsg5BeI4Po98AiKvEt5+/SN5NVYQPGFhAaRa7wKeRQHUQtQSjq3CRencB
u8Oz248IKqGu+93KCXTGDdQPnea+Ji0LRVW9VFMIDVrbd+YBIA0QUo4sm5J0DMRDlYknI7v3zjos
FGPwrkkqGM+uAJidZc8hQrglYUXRg4/zuSMtntKymQgXzpNT6QlooY4kNhp6wJ4NeE0NWfvtGwvH
4qVqyYOeIqeDnNaq77xlcuHHSNfrxOp/9UORrGGG6FvHiekdJhEg5OgYsHjOuEaQq/8UeSofPSsT
B70KnRCRnMh2vlkmLwWO0jW5Tv6N8TKfpNbK94xqeJfiAWbwibZ93cJafIDAY3ZLpDlyzeKNFzaN
9sY8nEKdqH/xV3o/MaJMnyzc9F3mqBYwZGw8FeQebgw3bC+eBKGj53F20DW3fqLfoz6mMBsXfZ03
j1WWWHePf/FS8yvullgOe91oykPR22ywNZZfbh1yx03auAqU4e1DdCYst4BuMP8qq1NexOGau4bF
M2v1vQZh9GTmbvCAy6p58FELgYTWaL3G2udzZ8p0arGPL3NTnQrPhFkeKj1+whbmvui1zsS8yNkb
MWbahGIKL/Y4FT8IkvDPzI6qZxod3h+vCbNPLxbdm5ZazoB0U8YXu2+du+PH8uZbunpsBr88GwPD
9t6Ox0td+PKg7JceNSsrvHrrT+14C1j6PWu2rfpFHinzh4O2cDNWBLnbTK0e697tIBVP5JVxYb5L
J3J3WdF5WNbG8TOup/zapUN7dQCFX9LOiPdZBLkfWfrszIskcfJet0E1y8qUun4hrBI9Qj+hKAhM
Y1nYcca2Kiy32dxgo20jnFuGCHGTdMAYwkrk1WK9thw5nt5jJzXP5dhZiElc44AeE60SwmIMc9G1
GN9H2RFEj5Kqb1N1YenMTVpmqn9qeDKVEa0alW0LwlhXXTX9ZKfL4HVoOugWQX8PNPHs5dNFVMkP
Ec2btmwvIVnYE3Hkdou4XIyHKorX7GZJ6nKdJWKFcGWTr+agyGOH+zZo1b5XMekJhv1LpFxmZvxh
Q1JAO7TEO7xpIc3A9h24GGxnZH5PCu3ZC219mwf162gWdzO395HunVO7W9nGtJSxxb+42/YJ3qv6
xTBaf11qzRvWUblQYURFmYl7b/fPgWZcSoXGjInjIpIJAXPanoA7XIhhvy+Nyl45pPzusnx2T0/m
RXnoRUw7XRZxvvYryVB7aCAEUJQ3UbToTHvT1+0mbzRzVa6b7hUR3aItmoMvSWLD8h6m+XeZN8//
ethh/TZv/U2tiZHcYaODZFNA2sJv5f/D0IU9GRWTI4adSF9p86PDNHbjZRzYAGNlVA+6yKvzWITT
I+eTvA2RcO4G+NZLHVRiWDQi7988pKif7u9XJZnfGjW/P878Jsn5nUrmt4stQnUwfr9x87tXTGHy
NFjEei8KXs1ufke9+W0FUzM9pPMbHPx+mcfQasiBSbSHMOBdV/Nb783vP9TxcJ1lU3XK/MbfwotF
AkVuk7ePg0StcqOGfc8gcsOeMESSzylDIsKwDwNOHr1lUVnZg3V3HcW5ZDTU56GU7ZMeF82TXjTZ
Ac4IIuupbi/hRDfmzyedGWAIg/yk83FxDjrziaiFhfFlzqdkrdpoL0sW6mUl1yy1OEy7+VzVEJas
s9+HLZE2w04lnnzPS+qMUlf+zY4Tfy0tM3lhg0PDwNyXAYocxKFSg3y0/cL4GfjauM6AE1llzCX/
+xIousTYDvPN0Mx3RDDfFsV8b5AjqL71+S6p51uFeU7xYsw3DSAHLh2+zWIfkk6wZoWS/fTm26mZ
7ylshnI/jsWxmO8wOd9miOefowChzsKbmukXQ8IDkge/Rm9lNC9DnelvnupauCfESr4qx2WolXWm
+jEQq8FbY7GsLkMGUAnP5roTfQHenALOhFa0QDh9dps0P0PviCA1mPJcMqBGAFVtSpq2ndCkjyK+
doMPO3MITsH+NtHcIDPd4Gdw0aK0v/9G8iSzpZuh1uOeJi6ShymXctkURXot8lh8eJVpHrKYQ2Ir
Bo9+lZ0zlQLG3HxYwDpNPi29fOytFGdfqZtOtZHIrcuabmHZsa5h4JUBiYpRoC10pxzXCIpukm5z
N2j2jzpnlNPpPZ3ERF058fgqnAlcNuPa14J7HFf3tJXZWhvieoXWI0NllwMeomH/ool51TzdOVmd
76+b0n5G3UoFpJnWWkcowwmLQAS5V3rzBqEdPRJ911z0JOboSXR3dTJ8RdvED1KIe2TEd6SM8hBX
frLLXcrsLtMfQssgW6eXI7ubsafoaaG4w1x/j/D/7Dwj+lZKS5CKTpKqOOnIL1XHmvpjMWT88oEH
A/lW/+Z0RvGQY8ne5GK0cZAX5rZSab0yej9bNJO99WQBFDMftAXWAmfDMJWxil5/sMN6pC40F7oY
2X0Yw3NZjC/QUfKnQStpx7xUbu2u6z2I0QlIK7eUqzSB5ENOGasizTC2VizKjYdKFGVd32x6k3et
8JhrBujJiRZV7iIcm/ch7929MhI2HlP+7hgpFYSDtSF1cYNnvoUrgDUEj1XULKosG5e1MYvjS+wF
+FBAyZF9smxjB2lI6GeUFqVOO391AK4StEXFpCQtv/SC4qUIWr5hRdcK+VosG7+/8/ucfWg5Kdcu
8LrnxhP5Af11sDdLX593KtGpCNxfBqCie2JqE08BB4qWoSfu02+C0e8YAMEfGBFuEi1ERl1grCwE
n13qy1/gpZxFSnbIIqmabEVVgD1FRZ9KmW9D+gP5/wlYHU8EYQcqd6+TUZjkWObfopluyigEpXAH
lDxtwb5rnmsSbhCF56Y2+5UVczgaOo1Hn3tcVvhX0UCa+jPk1Ibu1fg5Frq1dqr42YUyy/7fX2tY
rumMS0QXoSGPoWsdlDugbrV4v8aaS4IYwWjFQPpMwJ9Jfp5bVLuoJcBAmprchUM4vcXe3GSGltpM
I3znxdjABVvGbT+9B1GS4f2BneN2qbZkoWte3DYuPwhJtfahJvSDHPx4n7Z2cwkKt732MLevaKzH
z4Dz52CYlbsb54qqn2sr/GHd2ZrrreF35TXXYKYG/xONn0Yw6lydceLaz95cstVz8dbxif++eP+t
DdU/3z392V75f/5nS6ztV3H+yL6a/3/WWHgj//s11r2Oyq5mr/i3fOu/rLH4bX9ZY5l/WJaJIAiH
5oyD/tMmy/iD3REgKJzNYrZosq7KCyav//kfbLIcZ15XAVixPWHNEom/brLMP4hs1m3PsTxzDvf7
twKuWeL+wwqJckqgEUA+JZA9+vr8//+05SzzRNOUbXTk29uKQSONODO7XdYjCiYQ5w2lWLjoUdAt
kZOo7VS0X6NpvsKJesvcVL8FFdYWpxp+tcjHiTvJ5kGI6FaaZmggXav8KSn15jDj1ecDMF9NmJIx
W8ePotQw1pCStKOW5CgNyzNJHtB7IiUpjZ23guKE/b26FbR0WUlevQLxlIYob3PCwMiX0H4hxsVL
B/TVKbTqHW0bAyf2STtOYiyNBB/yt4b9e8R6DKP+EQN3j3x4IMsjE+GVLYa/IjZMW+sVjbdhxfmR
oCbr0JLH/FBqpTjKPIAKVrp2NqDxVC+Bz2wrSj4GIHkJg0Uy51sFfRaExZreh6BqbPdL2TEmjE27
u5HWtU3qxD6Wwhj3ZuJ0mylQxQrvEMqKykAAjDpCjexvHKP7Njr/3KhQrI3ach/RvOlLv5RrWTXJ
VjUQ/xB45yc3LkhSG5vg02KEuhOUHQ9oGsoV4A8T+Z/v7pPaKB/0NBSfrVDv9ejLpUUJOqPnm1mn
x3/lVvnZCV87BaLX98gUxCJC5bGaUsc+TUndbZys+IqNdtjSBLuXWo9BlYVgS7rYQACpFx6jUhdb
mSTpZPCrmqnDaN48qq+yJHmoAGiG0qZL3qxCvdleKcl4UGgX59s6a/SjPd/fZWFLbPTc6QmXSpR7
yc4t/Hd/vvdFzy8H4qfkZjDQYvQUCMVcKfCrCGjBMXyI3PTOQuLuznWFN1cYWThG9yYgtStxwUs2
0GLA+lGToArxKBOpU6bEt9bDXLu0FDGuBYrdZRZ96uLqlefV/xrnmkefq5/JLOpVNldEfdnQDgZA
tse1KEYSISie4rmK6ud6isXNHEli/0jzUd/FbXMz5uormeswEVvNJkOY+qKHPSFxwkP959+J/7jm
Fu0mHQ/tqcSG2/SMlRZ+TzjpODbzshYLcb3NILbu84B9EJVaXV5tMWIGcDRtJeskvfjEqKEgYsGV
RUa5weZTXzDb9Q9BaEfgXGBwpVJynPnNdmrL0wyfl8yXa4QuDCpuTWx7W6paHJ9O82KEzfiEwYoR
Fev2ndGGOG5sQV5MbG6TqM9e0pgwar6qfj04qmeOHbeojzst+MHMvV8HiVkdo7bBka0GgRYXxyq3
tVObqy6ov4qyJlKespdpJP2XyOzxkUGgvyrJLmcJ3FnLthEPBIxaFzRDsFUDB1G/P0SPg5FSqpdo
mvR4AvOjielnq3wuaSyiYnALVrNxmyzKyXgMkpZgJDqauQoqNoSqIXpuAmbWIpSrpB3Q5ImSUb8p
nRwFT4pQSWm6WPmD1r2qxhfPXdi5u8pTwSsoccAHOtgTp0cPH9kI6mNcUYfKdaJnMquY4xaz3Fs6
k3lLJ0M74+WaKOLS+BV1zqsu6ZoLoTDMhJiBmvFatr35hR2jv5EKMKy0qIFUAUgHKONYTA+e1Bj4
s5miOxq+eqvJLm5pDRj26IHpnRg/BDjHNTdNNsYUvnp2Wp612jtA9cbUhZMlZBdJPIe+zDAk4Q6t
DmMfABhH4h+vsjGhf+ile7DTLL4OU1AeA6ONL6iXmMDo3bETUY+nuK1ecbp1C/ZyrH4qxdhNkZvT
RTDOs0bxccZT/Nz7/DPSQU23QE6Po5NnKxPB66pQQ7RHTf/IPcSkEofMxtGd8JMuaNoZqXYPx0rH
4peTiWbm7aVIPAek3RStSMlEtGhGxxF3660K7eLRiVGJZxHr+dqg40MWMXdm4EtIoKOi1hzf2IO6
6lYIwJ1VEHkExNfIdkYNF4CWVS4RrYTA9K7FKRw5XwTu5Ctf0DjBUXjMavEzMj0Q1jGbE1a3bLX1
EshITx9rdc207ruA4yWA0FfkwQtAZ27F+d8A2gn/W0S+XNH65qvX8zanjinWcMv9E7E2+KnN3rHn
FPdw+NTCDm9yDG3qbpbet9PEp2zoOH0JzxskrhXTu/RwyRbYuy0NJqMccBXKbsN2BPOxFt/c0ZhX
zSJ+KSGurysTDYY/yZcsF1tHG9KV4E7IkSL6P9jywu32y1/FyAMlmvTeV2ha41ERwJDq56mfmEug
HeW2i5+btjYZb2r+sp6/aS9Rwcbqqee9jKOnxUnIJviTuvi9d82AD3WymMAidVi7UElmKUz0QAzk
FYZnffL0EPoq5OQI1fZSMYJYFvjnEG0iPqAbyInXca1d0yf1PcS6sZoa2OYCD/bOGosPXeMUIipk
FZjBWrTOp8pZZtnOLzaORHu3Bls+y/n1v+Xub77JXZVf//kfH7/Yfq8ivsboZ/sPdSsr4FnS/t+X
u+eP8GPOlv/nv+8v9a7zh4lCHbAfai6TmR2yub8ot6zflfAckKD7DgpzSs2/1ruCohZaCXNN09Zp
NXFi/7Xedf4wQDzyFJuWcPgj3X9HuWX6/El/J90iqcOyPEGABlnCwjX/od6dvIZNNGL5vYosWA/u
R+hG/iKK6uwsbRUco5TBL+Hcz0WZoE0iAW1bIVD5GG3HPcUeWfMji6HYgZ2Na4Lbm4LDzr3nEDzr
Kq19isVuxgwrsqyGxO4feySbi8G0IG6UXfrUSJipsV/XyD5sVp0UY404qQZfoOcguyaiiRCE4LGD
eitwoa/1JCC0Lw6eRxl4G4xZ6cLNnCPbSvHhRkbKDJhRTAG7I/H86ZRmU7Zsh5Y9HqyoRc++EJP0
sBmavlyYsbeZGK6yY+oya1Vl2J9Hw10RZqVhzxgeK2lTTfq/BtNdDGV2hOKxVo15Ay91KOoyXGJi
X3aF+e0Y0figyWBeCyfetDVl/RTx2V6KKCtIc9TKLcrN55G9mNCGY+fwYfptaR1jxY8cWcnZzttt
pWFkZfV1spyOdbdeZNtobH9Sh0zn4KXxSYVoKnJCibB/sA2ZInVvX4SjVhiF1ynUgiqzq6Xh5d+t
DUbRF/DSkFaNniCzK75XbLVkyWVYu+gziJ9a6EzSVtoU7zTVPWqm07MHbcbnLpqcveVm6xL1wypK
CgxXCG9GtwpZa4TyCc7XTVr9Z+BwzYSNnW7GUXlwVTP74uCVWbBIxsYdwPFQrK63XguICdKSs0fi
pe5WVtyspLJRrllM8ONMqic9DSZGD01bbkGohZdRnLC0PxNTR6JMLPLrUGvakjyMU6jbF8kGHX/8
a5gqtNAlOudutLfxUB/DutlrhEfqlABDSPgapmjlqIivqjnXdfud5E9YJEpuPd/aOW6ZLhVNCWiG
tT32Sx3K06LyLW0ZjBOpimZ1Vr1+TBx050RtLzzPA/SmZs0YGogX7AR0QxJC4SjmvzveV7q2qNNS
fyajMFp6qneAgSzMZoO+jsW5NxjbCipC7hgfNo7Lw2T436i5T1YyLWw9Y+NYXa3WY4wTrzDm3upJ
Gj96LJs6QSjR2u5878kXoH4DUj0XpmLDYkFdu2A4da6YPcGv+KA4cqh+P0u76g4Ea0btslGOuKaV
VT5YQaMOsV17H/jE5NLv8vCgkTS+Z/De7YmTT19jK5ztGl0THaUp9b2Mw3qnWPDdGxdjCY9qgy5K
Vz8Q4pNIUg3FVQqr37tunr5zRbp4LYHupXqSUFHm4iBF4R9KLLIbQwzDpjWMeWk4jSf2Wdl9aqPx
TtBg9xDrZfac1Zhmqx7Hz6Iu/fqjpVxeVYbsCdnznROJdOUx6b3hEbmLdXaMqXtoSd77YcRpR9sC
mYBoRSbwqUj2tfSdy1QX8suyR1QdTabqX3DQ6F6ZlPsn7AjRKS794egEaXtIA8+g2Ot7/ep5o34b
rL46k89oHLOkkM+UVT4iM4xkPCru0dIG/ZihY2iQgQNoI5rN3RqpmZ59fkCEEK16jFOp57s/3TL/
ROhq/Z5C/Hn344HhZ3bCLeAxFQEj+vdTioQmqrCaCRNjGKbn0q6Lfh83fXOuZn9vF5CNUxrDsFAm
DANjSKbVgBkdXwRGOLQZz6JvtE1qKeTpbjxPUBujIPos0jfsFhpkUFEI8KAjCoIEB+cqcj0+tHp2
dgMBlbTypyvtO+VK4KUnFeKS4kl6djB+4kb1nR3xFdmSuYazkMq51zVLuK4bsovoQgDNg+qCezkM
prb1QZpMy8adqnwlc/7gBXUdbYnALQ6+D8rnskE7PG71jJjadY9b8wfogipaVX1YrJ3JyJ/JAfR+
EOfx0KQtSbwm+W6uRghimy8VqtAyV+CkWpcqQE8hv2X5UbNC9EWZgSy/s27l2B5lWT8F5GsDoNRb
xjsOeKJohMYURMRrIwezSOxbukOsloZESDnZ/SGoi6Mb8fpHkUI4BGxiyCPyAbparTMmBYtqEOFP
2TsDkITB3mi4icnHEc65wKHAGWOkG1cm8a2cRLgquzA7d9PgzmArHqWJ/n0x6UI/DqXDWrmLmyPh
GP6pc3T5LPXQPIaRqM4JGu9bYQj9KhMw1EtA6u2B73o8Yi+OToOOn5Fqk+edUrr55YZItBeWa8kv
8Kn5cqyDcVPPb4qa3xlvfnvM+T3q5jcqbTw898FonROM549lFVVHW8+5n2XT4yfkqiSiogE9m6FX
7Xwbs/v8Bvvzu6zPb3XgJvkd+N54gtYW7tGlDRTfnAMQFf2DmtiUlXbBoqTK5+eg8p4Q+aXvyDf7
/TSfK9N8wtjzWePMp047nz/TfBJF85nka6W+T1iCHPNQcGSN0DlfESZ3+zjJ/H3ZDuEhbVEm9q3w
PuLUVIcy0BgEYWO7ysznYCS3ojtQgIif9NdyO0JtRAUWiSu/Wrt0VSiWBoqRdRRBwUa7rGZ5X1CT
Ad1MPhVK4hv82J6f4JY2HTcesDoRG7FCaCiypRFatYIILbP+nLuxt9SdygGuSCM7rUwfKQTyJR88
UU6tX77CYK1R9zpJ2UL2tZJ2V4R1Hx7NVA9pCBt8sIuu9foOGVVOmHFdRWiN9VBDQOtJqcKVr8aK
7erkTNzX2IV0WDJzz1DmcUH4XmtdLK03T144Oo+jhkI+9a1mXQOsvDVT7SQAzYJM35KAnqZrrTaw
HgVM15BJlkzXelENK8/HNLeo3Ulq6y5LqYDoeNn+uxybb1NKeuASQJ3B2aLi2OcRMyqDZKPWvCX4
YZAyVY9uoGDGxTGauEaVy9bMdw15U/ip2ue2PwqEovSK+sn1/PJkE6O7MOG54ju28O7XaHRRyuPT
CjAMklI/rrKiHBb4HJhJ9vE7eMxho+Lhp5Fb1dKrLWBiyrwGejWciZw3l/AQPiP3EzGt/6BMJnPC
Veaqb7kGrIIsxNjVt64s2N8atxgNzmpMPXS75A/IzBXLMMMl2VW2e2jFKHa48UgeiayHwNNuIDu4
8yLDOmrc/2t9Kn+mTaHN3xHqJlUS6C2HK9f582SU0bcDEGPfdKx6h7SYDnh3h8UIaOnF8HS1io1K
fbPR4BkkarO0UFK3egz4OXLD/11r/NcS4n/W5/3LtcbpI5/3Gv+kzfvbWsP+g5EdO3TPdoi3BA/y
/9o8FhS0fz65iPZM4Z0XHn9t85w/2DBg8mFhjaABScPf2jzrD7IaZyCXZbGGsGhE/w2DDlGA/9jm
CYe/BvuQj6DMgLr99wWDUzWwLQA37eI6ynYKodgyjPwH7Ab469qQMCwgKvcEKNbWBi29DOU0PmdN
Cx3OiF7r0K9OWuVhGgmy8eAiwL01vU2mc1aRgGNQxw/MVU1WjMzIGVosZB282KaXnYjE2Dc1NlAb
7sMhTZqbhlUIg98oPx1sKEiyYtzZfXqNPZYorEeB1CJOUUj3qo5bk3YUcitLjLuvaDHGoA0WaMzL
E2fWKFesdpnnyQJxAiTqbVQm7k7LfdvZoS0Zn+jr5FtUll/w5XJ3FbYW9Lsxit8jE1UiWUc7MCTn
OBeQiWSaHAbMr6vGssm8thFiMPBe2d2so3EGZtF4m29xmFYnHyqg6mC/DNlM24vQxU01Sqy+ilCx
yegNq4dAclDSTGj5HDzeDNVicCxEc/Ws+PQRp+lduKnBRXLvmRhV6FHLmz7EvwansbFRB5DgpUJQ
aegDzWCjv2fGyJyMFWm/VUjGOdXs8KkfxmVrDdpT37npY58KbZsOTpCvSjvQH8F5eOjMwoGFFetm
0l2Nev4zzYE7jKM0AXD3u0KN5mI1MOGtt5WdwQEE7sawOBXmLi1hJ+5rTvZDOaZtvAkmk3G3TSxy
gDInaPuN9DT/0Beon1qzDup9g7FIbtlt9w8YHCp0+v5UiVXvKG4OZiF9sIybMkUEnNnoHytrfMmx
6fc4SBuXWaNbMYDryRnHZq8p/9q6NHuLDCsl4dy+63Bcor8FTko49xuz8fo0QahgA4DIcEYxBHSI
5JUZqxb1Ae6OlOaphHeEM6e/OLbVGI8qgdi29OOGmG/ddlN3PdgGBa9fUzjfYoQrcMoUtKcHnjAL
Jy+l9rSiRDEJ4R7AX5RRdnDrLgwxM5V1ueVuZLMfs/Z7aH+LSwejnlW9g/8I8HvvJTrx9GTYAMbE
/6S32aqH40At5lKTW2ew2m9p417HeI7ljnSTyrfeyZYm2an1U1rS02J/vvVz213aT9jG18qw1Tma
29iMVPGhq45xGKyspMCvfRIZE458zrgqw2nZ1gVfmTmQK5GpbB/qiXWNlKV98TivClJSWbFczRZY
dT56j7oONK4YxkXGEbXxM1Zp/Kjf1vSYtf2q8fg9RPi9ZZoZPza6vodoGa2GmtULPgKbEU4saF5Z
R0ZpQoyvFjD1aK6eUGgLFdKNAVBA73jh7vecoLPkPbN6CWfLjbkILdhCs5VMiEwhkAC7Z2RFs1SA
JVkfFdqHbWNvqdwtUCDJrLwYFj0J8Rix9XzOrlu5YK8qpkr4rwIjL056FIt3X4VPxLVHqwh113YI
0pJXJt4kdoqZxnLbJc5o9+dkT5RDhlob3tgcTTMGaIQyTeZpsO8d94mj7xTGqLysSpnAgEiSg3eg
4jTd2MoU28pnOcU+ZmsL/VcK1QXSvfoKk+BiyQEu4USMht1gBGHv+zW0XvLZTeH3v+4Pzd/53H/f
HyKCIlnU1C0yYXCG/v1xn5cj1MrI8HdaSFiczIDf+1PK+iEcS+ciUaRES23qoKQ4kFBOejFGb9D4
mTFgDxM9y2D2uVTTgrdOFAFBS2bZzSb8pFY8l5FHGWMkBbp8qBEvRZ0bPwHB8j4b9QDxn6GKWy0Y
veEDQU3OOnrEevSQGLKTW4nJB5u04XBYQJk5UCX2BHr8Pk0Q73OyVL9PGZwq6WHMmNLDslWuSaE8
gMiq65y+TYcIxxokvrWxxggKto+7ryu03/XcdJkB8iKzDTdo77tjCoNngD246aJoxlP1R0Cvw8HB
34mnSR5Yisfr2ERNBIRPrkDK+EszBwgGxe82zW1izHF2FHngbKvKZEOCgJimIAKGNAZbOm7zAXxI
+2UgXXumXC/WlQV5fZ00FUlTTQLGHfxJ4XfIcCMcPwy6opXQ45qnG5Y+/U1pxMlTpBpjOCiM+Ms0
HuidHVJdRx+iuF5p2cr3Q7Tyc+8t5i68oR2Pijo+qNCwr+DI4B15QZj/4FAAxVW508YpBjD/BSlb
fKFVfAFw5/0KoYKQqhU/1mlhPgid8XiB5tg4MQtMsOvMpWX7X2VmS3j7MUOtcZC0CheYd9rWZSuL
7rDXtgY6pCs4xGBRuGH4M6gi3lagYt27cji98HqYl8CZtWPMaAFNG592Ghg7fWwy5rMOygQzq68p
s4ZFBJY2zQjFo1N44Lar/y97Z7bUONpu6Vup6IM+2iI0fpKio3fE9mwwYGYyTxRm0jzPuvp+ZCAL
ssj8q4rq/rMjto+qgJRlWfqG913rWUgApIbdKEGIoisI9AJvNS3Vmc+GBMtcv8kq49Zzh27OlbuB
mUlUZ+hDcgBSOIf52GBWVC5ju0oJU+9WBYhd5jlCQDvtwZWVdiFy6T5H3uBh0VCWmVcdauRKwTPY
RKpyVMbOjeNqMzhxa1z+d/RrsNXaJ3LTUNWsa2PRDfVD7HXKCVECjzSa6WrVmT5TTLlYWJ1krcgd
3YEgLA89S2mmpQi9hx70wWEjrPIsRjm7LkuauEEG5SGOQ2vZNOU9i0VjmhjaQ6NT5QXhLaY0661Z
rPj+kQ5CcIAQt4x7WTlJcvsYXXk/1cIaw0si9TPNVNKFVmXONK/p1TVGgfE5q2kaYrOy+bJDvaXO
aVH6JBIizcrqeMiUgmZh3y9NPaM62akXqPi740hRfPj4KrUSpRcsPhRxQkdaOQuNpCT0wJ2D2fDX
AI2iqUuNIZo4CWACYRtqi/It0h9L8H5ztVayJ0RhpKaGIl3o9ZDO4hKSnharo5DUcGeBFgbLvO1G
1NMoPu32OlTR9eqNuVenNgVCVd/wK3wWuoz43Q+CJ/hL6FpjB8l7ULvVSOTvymwpFTis5lhlY5q+
zNHFOFuH+4k720/iYj+hayYepJW1n+ib/aQ/7BcAI3GUHud+YaDvFwliXC9QHKr+e7f1V3Zb7E5+
3FU7fnSB/e/63Qf7Lf7hNxmZyShCC0xh64Rai988t9Us+8BSEIsJStbmy29e91viQBYmCH4bNBKo
Iput2O9ttTHWlBxC9mlslEi6+Sv7LY2N4Pu2mkCSBkmZDZ/OwfTvJmD64hW8eVOsCrvQ3ZWah3Bh
SKHrClRkvvfQhVF0SPWgy9aGJuoLXektdy5aJRgWIIe1qzygJ5dUQrB8EyFYxdiXmFmNturyZSx5
2tW4Uj522lYGoyfBs9GMhK6ySfQh9mJdD+wVGmqLbMveyrONLKVwuAjYnBqGy0NiOaBFSsNkyicx
bFz8KNIlAP/8yKrN+pYowmiSBJY9V+QonOaJdS4zjyA8lk/6nokf3nVO+mnZFPc5jFjQTAgycopN
rruRg9KuqAQrw8bwWObPWp0KMEkTJCQNUbwy6wKDouqrK8ewuplrDBp2z54NpI5MnqGsA08f9eKs
9TT70kpta9kqYYsPK7KnQR83Ew3nzlwr4ozGnc320RNsIXU1u25Sq61x63SZiWs3PVeoEFrYvv0+
nqdgNGSWdI6PkCdpm7OccRCIYcL4vcn9Cs+bYzUNUdhtxOrTToAJzEr2BHD0JNQXmNSQtS5cpQff
EjWwkc8GBY73aeEiFD5TdJkSD/l3TrEKA6lw6LVZyrCu5QpiktO0Nsi3wFGaeV1DL1uw4I1um0jN
jTPQjDiilYHmErokYkdoVqlhP9GGsqkXjiibpVnJ3oOcZq45jbPYXiZFrVwbTou31ZVdd4ysfLIx
ONZSm2/VxFI3adFnFK5laSV1VnMLaq9D2O1s2y5hUZe3FfN8F9N4KtpZ3Of+GXVu6v9yFE9Soidx
PRsQD0s9KR+0uDFXKZJff+lj71NmUSrnM/DU1iUVTzDNPX6tfhb7lXURKVK/aUk4Y4Po4+gvq+ii
Cuk01Br7ZYB3LPNdLT2UTfbWJO66c9m3Dimaj0Q1Zbh0oIUumjw1DoFBIR8KpCU4VKzhVj0N07K8
6PUABJgiylOJjd6iDVs3hshDcwd+eI/lMPXMGHU4P1+maD82dNFZRgR0nHs0TZsiZ6Ez4gr9S+7W
+ghZNIRTWUWZQ/6XH6x7N2yzSerUM9q9aK4zt167TRue2qx7vlR8t+zhUgcHLNBRZJJ923WE6Uot
ZKtiRBzG5nXn+/FZ3qdLDJ7RPLdhDQCF8h8MVWrnhWVmF3HtlhQZ64DrHvRLEbj5F9NG1YaFpj7O
qv4xrWsoIVmvxujMnWoVSkGwEITphLegrsRFm6KUpx8Rml+zHg7uXI6Fvh7hlnRjuxohJ2IdIan1
3GjyeiHnRY6p02zxjBsgsRTQKFGHDUvHcL6KbOlQBtrECBN3x8KQ61tHLtH9lG60dW0tPyyzIGEv
7Nm4RXNcHW3jVM/swv/WVv+pIuQYBPjjaXG2i3fJb6hNfoPS+sepcfzHz1OjScFRUdFdI7Glgvhm
ajTlA6ZEJIrgGE32n6MY5HVqlA/4DQ+CQH2tUD/kcK9To3yggdIhOEc2iBZFjfJXpkabmubbmVE3
LEuDKgLwnqqnRTHy/dY0KyTCshNFB03gP9WmODELY5kJ+zJwGK6was2jHtFIg7AU79UZzbEvtHuW
tf3Va2s02JJ7hKLuOqzFkrT4hSJJ82BDPPph1QKoMSGKOM2x18rXOTSIcNwDDsYyGArUsdPUc+ao
Ao+UYipqayFa/m2ebKKgWMHsXIdCOxOFcWIIbdnm+pnuKGQNT1Th3uGIWvSZTd54fmFJ2cUAdsFh
utU9dhjEGETV3RBd9C6RHDHw9k4sTL09NjML6mm8UTL9JNG760wjj7ZKtjxe84xFdxRTMCoq8rec
y6GnDmE5+mUp8KO1wWns6IDivNGcYxSrwUGAQO3xrHLNlYb1HVJH87Uq7EvI37eBziVDF7HUHLHG
8zSnjHkPvI9uS7zRGYHe3HkfNKC/RxY+f4kjthCoJ1Xl78vJfVyopQdFZ07OysxlPolxTbttfmr0
/alZEIjteeiXB3Mu1Qh5+WZ+fgL6d+srjLG0Pk0hI6hCWUWJ/P1dRKeYZYHqO3MW7EOW+RurLhad
TA+u6Q34k556qjuhWNbOsAWlct0kvrYxEAivY4GKxpw89lpVLAbBFgtRob8wFSeeO+mw6aJiBVqe
Jo5F1VNGOxsPJYOkEcWzJWBVWHeYjuimRvNWs9nx4hZKU8fAtq4d5R3aF+ItaA+V6n0PbXjSdsNZ
LfvLoUQhwLN3o+XqERr6YyuojxJA5IdpnrlH++vzlwbSP+dA+eFfje/1i5HUTF0hDJ1xi3U//6Fq
47L7xyPmZvewC723Q+WHB3geNS1GOUY/wJXC1um5jGPj84aC8dTQyCtFIwfEFkznt0FTMw9kamt4
5mA9vbR2XgZNbbS5mBZMIUZOzTC4gf/CfsIaUW1vRk2JlpKp87ztn4M3dhQ9qoABhZW3ilozXrAc
oSxFsBUVKvQykDw1OwGxLCXWsga0Rs/dMA9Z53rkgokqOGmzAQZCYhE5MjO5s68NySEaw7b66yyI
bX1KpmmSQZeJqdwSDWGfI4Erz8xQ1jtCaWPcaJo5AKyfZK5LTm3WKA64MhmlazkGL95R5ZGydYPd
7LhUDe0QFmi7a5w+ucu8kIzeQg+yZRondLUHAxMhPOcSy1zbC/GVxZoLuCO1u37ZyxWgKzWKmnxN
u9SRRjCKDlaF+k5+CDHRP2NJb7hTRvKcRWcdX9QWTHUR1vQSur4QX9Q+jLddp/TStGvUsJkWARVE
YhzgaE00w5O/5AHhEpCZJYRZNhKa8y7xcbUagdbcB4bUHdpBrB8qlPTPDclI8Nj66oVqBPUNzRJj
y64rPjdjRhWp0u0VE8mwbOQugdIvTGfTMG1Q7STkUnPhmqjMLtaiYauDRUGtvXubmFhvJUUl7t1I
FQ281LAdjjJJaE8tGpcL4A/Do9/G7G8cN8u/UAvVT+26Z0r0yoDEyRiA/ZWpj5D9uo6rrYcr8YQe
O2YZu2Oam9TkOi3DyEcrELBivSJdVLpGbgE0DS+AfEUCCs4HW8BcmvvkaVGR99S7QGnzZTGQFaOo
BFUh8nbLLcpp4pqIJYrNeZw59hGFmmpDwQwXcq4VycoMcr9c6xib6SMpSfU11kMJ0I5el49u7HSX
RpOiQCr1Ck2jVUnW1IR6cYzXAbsKZocomlW2jn8iD0r7FBACyQdVHyTd1LAbmh69FKXoVwZ44xO2
J6k+h4MjaQtSWMxH0icdfeZFOaGbLEuzYS6IT1WAU8RkjFRGkX0lD8S7lUefqYjBlZ/GRkfbiKeG
/oMgBKAFqGXWyCycoqunPiAgrl+DNnRKhThB9Wj03rmB1gjyM1PybVxqzpMfZAT1FJEKIc0R1Qo7
cq3cZ0DKY1qeQmlITXAGbqnOqFKIGJpHXgEVxU1tY5yaOFFEK6FtSwI9vA55BTjzmezH/H+pltJG
kXws4U3NYkdPhyHYVl4j2M13xOUEbR9fQbnXH4Do+l86WgrWpLAdM5slPqlY2I+MRSBLoT4duWzr
zEPBwPYJ1crEl9C/z9QkjxCgpGFFo9J260Vvy0AovKG3Hu2mEOosLG3U9mZkIJTtKvMMEmu5ph9Q
km0Q192FFNnlnV0Y5U1ATtQJyA2KzHVZUdXzOjzWWWE3Z7CpyhtwGsaE9ld6NAxKvmgixPnzjkw+
VP2N08wJzqjw/aaejnkcXD55hamLtSloMpBPZXiUKKHhzcmXh3EYIPuiFuJCISKRi5Yxd2U7ieQ2
BZxhILBsAlPMRZk293Q58CgrAQSXKT606jgKo/5c4AVAtumkmQPiqO+WI2hrSXSLvMZi1yYTla/x
S2GHwwNRGrjN1Eruj9kOScc11MJjG+wZWstUN8/bOPMvmkZCfhI1QlnLrRhWOu6qc99qm9PSVQX5
gG1C6GtaJ7fjZnTeDK23KGnoXqJSTXz0mu6wgMoXkY1iZ5B3KhlREULk4Gvit+lpEBXGvMzdkZrb
dWssQsND3WvYy3pChBXaZKlmTvCC8d3XYUaYnN662RfMxiF5E66KJwaAKxE4nVmQ7SFXV3w73chN
dpVTpGA41COMK4eS0bXlpLVKzV6mFmHMji+hXpFLjf2vEwXpHT4OcVnpNTdhLtf4/lnjBV+VVM9u
8TgCEczzgqBCtdYrY6GLQQUeHAZhMqlMkmZwUMnZdRnQ3DhXrTQmqqvXGHRYqOYzTUpk9cgLermd
sT1VBuAw1SjyzoiOWalRq+nrQib46jTLs+IYlJuDmz2x+3AG3NI+KXIzuus813vypCKdZaXsX7pq
UVJjiKgMTbABoUvPncCb0h8w50BpUCO7lKlXOv4dZM8pHCK9yVHnavSuDuu2gZ5nNFFM+yStSNoI
VOgHmL/oVVpOt21JdCOdGmfesiG+bq2gkEQ/WUf6FDyd0S0IfAs2WqFIxlRNK40dh+YtG5AydUfz
1kvLNJuQaTFs+gCEch3HyRhOpqPFyEUcwOEIkzm5GUdtB0l4ggpvbPlyhmdZapY3WmS1BGqx4gDd
XRkU1ELETkRvkSjlogc95LEx0puYWksw0atyZQprWZVk2056JfoSWYWNXmnccUA+wiCf2NGhp7WI
35WgIAPBLx1DnjDsJIxDhrQslHPN6s5UBfWXJTfDQ8RswETtV5dREllHoCg6pNOONaVEVJ0nTt08
6Uw+S5wr2qFmI8enGTcbkEmshpaerlqV5ZXWGdrKCg0CI1GYEV9pERWFig30DDxQe1srigbusK1R
VCBdOCRMIp6L3q9ZXyt42jSsCVgH/KDbIBKr0P2lMg05JzyODAbyEQaZZwBR3bSfouyXMOkIhdAd
r5GUZRn0dgCqKQ/Xg091UA30iPy9VtuQOxQcDbavH9VeDScQPVB5C/PAnpVGYt2L3oEjLxI9P9Xj
yDrHRGZiaaxIQdczx5mgm1Af4IyoQKiV5CwP0HPk5KPp8zhEayobVXYlJ+wC2pqvPwUjcxtTtxmN
EMTWT3zhyhPFDMyThLS7e0ywbBALm36xKKps3OUZ06HKq8tcLct7sryyraB4fJwUAZKYNgyAABgl
eZTkxC5bQ/YJZ40yrWLNpZpfYamiW03HCAChjwpCSjzuo+PlHntMCQtCnZm0HAnawbWaVQoTKKWn
L43em3MTFPiFpGvAmXLZcb+YEKbIvfGb7qskoI+TlUh3MagCNrd2IJaelZmALYV2aHdt+MT5Flua
4P2dPdTg6oesJ46t8xHIw5WyKjQ9LRKioCRma6a5dOYngi3kmUWyzsKEpHtNv5y9dJ7EO1sVLDWy
kroeemWnrSZOUSWEbOSau+SrajeK61aMDr5TnPmFhtIkpXQeTKohYqRS066KMDR4hX9oBlKdLuuq
oEhLc4eoRcvuRLQgw1I5KbNMv1HNFpaBWsphv8Dg2WBzIW+b1E4VQ6HvmphKiJsrqxll3QLn6CAP
2rRWc3BiTt8WX9rKL4JZgXIxnfpD5Bz7+HmQWFcCuZ+S2MM0Vf1qB0WdSa01LOU8bEyuP4JbHY9Y
HNSoqeLoWte9/BwVEfFgBfuh86DX7VmjNO5UUmXzyEc1SZ5rLT/6QC2JojLKRJ0z7yYMgCrIKUww
hXEB0cT3SEdnSTBpi9JLMOcNsKsUiS3MlkZFQx21MfSVGalpirFCzyhEA5KgYs1U0RyrfgkGkG/B
dacdqQ5LoVTWeRSpWT4b7NYaJqkd6U9BLNm4haiMX9mG1O98S5IfLCuqa0B3AzN5iAED4lUX4HXL
6xy4chQEGdS4ykN0HrlPqpv659UANaO3M8VfsMYkaFK3/PlgpsVZbSUl7pWCISqBzrHoWbUFM73D
egluyWKcqkML3Ujp7Ow2V8/lhCXGnFWvLU2L2DaieZeJbqQNkeGFNmxgjQaz3R744JOBqvNCcpJu
Xpgaj4nOvAwpscPzkwdyutPIhFC3QeNGc1Cw1McztdumcoT7JMnSFj5KVuCH5K5Sp06ce1uHfJ21
Rv/xNIQxV0x6UQJLiho1xyWkjXZbk0O6V4EPqRLphJZdZ+i1ylluO9FTGsE/LbSIkjZGCjGLnByM
QCANM7NGGFAUnbSqtKIi2U7DieTIrABhXWFFdUHQzesBt6uT+aExMWQ323mRVByFhMexwCc2byVV
GE96HSXuEoMs9QjqcRJS7YajEJoICMVEssTUrgh1SXndOUQ6W9z3kc2iecA3dM7MDc9Ogwd0BFAl
QW0thwQEdqm2lKUSGl6OO9hkDpm7hZrPheqRXJUE5rDWAy+YYB6u53ZKmFTdl/UxJ60f6poq37IO
GHMa7GSB9B6/p1FFpJ21zuAgUsojaDYQJLsgrAEh1JSaYqj0JRQXcGFJLvtnJqj6uZLBS5sYlm0c
ybHKcsoInTl5pHesU+2lzDM5T+uqnGN0db+SyVDd9cC2wKoQ0DdzezX86papeUawSonCX4+DQxgj
0XKQxuBqt+ouYRtse6/CdiJD7zP8gudS7XAIOcLoDq28aVd6FrlHQmQh1134GJiBwFCi9I1lGsrq
TV4MqGRI8RDjCj0mIlaWMWebuk7Zv3IDVrPEMd4ZDDErn2UpUvMuKI+hHYPpabAs10WDRVuViKGd
udoQrUGgsYiWYz+9xKVlLVjCia0A93OhD6m2BhQgbVNyNuetSOlhuQGqylzKcKUy8qpr4VrW3Owa
75JHjwQMoQ4MbU6dMTy6pL2UdWMTupugPElI4MJJ5IktbTcBU8qyIBNoQg6PDUmrSffwSMRUh85C
GRDAHItyt58ZMkYpTyZwiPDuHgpSHVQXvRr5V3VUN1tbco17nl1lq3iF/ZiXXrmAZOQAIFZ7zLpS
qys3apWyqlfCYG3kIsD0K2O1lxtqGXHFeOXXtYo+yIrByiS1N6uTOKatl8PShMO1VjORzRAqdUdS
xIcNTQ4yoetPL7NyU4B1kVbfFEx1Hu+WRwtZVjgmAocLR4VDWXk1lIq+zlQsP2C+FnkYQA3W1O44
hZWjkJ3ZUvDEDJ9cKrFCu0Zvgm2qq08mm0FmZdRW5ayrpWrT651JFVsv5k0YEtwRdXp7LZiU+S6H
PLUWgLWrBwK6+ul/sDmPMocw3JXWG6xooqLrZrIIAHUOvYfBiSmlnkVgJMr/Ox2Z/484NnRFWH9Y
iqrqYzPDoFXysyLibPdQ7PZtl9HtW/y22jWPkf/bf419mB91ZD58i5fmjIYd2FQxDugIsU1O41uZ
cWzOAMAxTG0vW3iLv6E5o1N5tPkFp00B9G1zRtbBntDxAZLOIf8S/kbRKGa+qTNy4vvuDDc1CFvV
wGD2vq7OdqkNwGnqc6e9qvv02L5UFu7C09A4T7BdWGPbYSGX59oVgAIEbZAOytxf+PGNA23dp25n
NfpUDuOvrOhBy2KYKCe1tDAt8slZVBCAsPasu76jegNCHm/wTd1+ZSk0l6jhYdq80DKJVXGPXLJY
aNIhPICim0YrR1w26on7gBAT7+SGRPVJ0h6nBVh28USxCqAZKmNpglRrbQTYfUH7nDA8zvpWmkZe
v4zHpSChfYQYBAu2Nzw+xQKYizuujE86qH7ECIqkvZPt5Kqs5LN4JKqx1LMmhgbGrDSB9yf3VXQq
iBuiVBRWbJzKCQCDMfhxgpivNdWtQqqCGw1rTSsWcq+uJD0+RPkbTUW80ToazSwvT8u6YH/gFjPI
AtQ45G2kREgkAyZFLX00EPNNk1z/ItP75muaN/ASUxv7iNOiHQ0XPWSiApZHIAo4a+UxIenbSmgY
FbX70BTbLuVc274HUqiotKL7q1QaFmqMgBNdyCSgbD3xBLsPQRkIeKK/dWPyKXK7LMel1kleIufo
jt88Nh/2jEZT4u+i1OeHgqwr2VRoTRI58t29FTZy2fkpINBuiK+KSkL3qJfbrjFWjKRzws3yWWSK
wypMllF2asTd0lD0oyoGe4F4C1FqCSrGcez1yB0NJXnh14DRgxAumaNttSal7W1caLpRTIKARZTm
H+XJkVzryyJLjpSeXqE1Z+IianI4MyJvZZn04hX7pOIrzHr/SYcBa4RfJC6zwyiOB37hAr2HjUYq
UTXL21HAUW4s25xhdZi5hbTKBnlbGMWi0fRtL9sbobvHHawjG/h17FWXAWo8bkn67oe68lVQgcQq
dZgLKOIpdScpxSthkvCMEBQpcp8ssoZeFkSjHFA0Cn0jtu7iql9FkQxubTTZkbOBpnHYDB0QQsvZ
9ZmxSOENxRwQXey49VP6Q4aLG1V1cTZcqkVxXDj6CnHpZdJ9HQKjO8JRnmIwU8wvuaNBjUGJIgXa
3MsUhAjcIq3QF4qwV1R6H+SOc2zi/tTFt4nENDVwrmv1Ud7SFRDD15/fJuroRPn+LsHZqpFMo8q0
qMfO35uOx5DKVli0CYSLNHx0Ac84XD6nUL7m7LOGpjhUzOI8d8KToW5O3bKgMNqd+D7SY+S2mBdM
vNp2MMNegGXBPiXCgbGrOi8tG4tpFW4Dr3nKjORf3N20iL47b1rt1DCRwwMJtKGbfYdjLdmk0R0B
nJSbBWRmFTsYyIOBJOquxgtfRGTIRB4VGcbFzBVQAxmkctjrqrnoKKzkHuVAU6KKX+TtQJSCyT0L
fJR9IoIpBNyqwO/vNxcMrEst6rZ+UF9k7LQGbYw4VR9cAzwISBVHs6oZ+Qzsj326OoUghKWzLIbG
Rn0CQU87oqqkDXVAhM1DViFwac+9ptm2GHQy4YDFFcmx1zisXoT9FSGxMtHC5lIo0Sm5XcME2fhT
IgXe3NCyy7aSnmxPg+PviychAXQQwS264WXRlNHCUJ4yKkIegi474QzcfF2UkMosqrOecY17ZgmD
EOJXcdei8+4Rw6ZxO4cq4cotXnxvyv7lJgEsCpwKJBsgVaM6liV/SzBZMAH3CQ0GlTvpvROvrm9o
pl/lMkWERL8dwvzK9btTEgCHWTNuWiSiRoJ8mrvyygDEZnjtSnaHCf6ce0fOLiJUwLWqzdio0Dsy
kAxZWzeR13gLt61uzVgAXsSKyn4lFrNatue2YpOrYCxcT17w1W9kglvbpmWW8W8oQ6+oDc6hXU0N
asnppnKGOS78RWVHJCX7E6W8DYaLUUSAi2Dm1Ud2Fq6DxLkpuITLnk0OvQllwaZ7aYXD3Bv39IUG
vwA6aleJLRr4WV4EX3JYWBO7DJKVik10Omg6BRVhVmTAmGcp/lNWnTlJzDRj7KzZsmFGsac3E0l9
Agi0diT7Rqdq6kjpAx3vBQj/ZGxobxIeQzZc6bbKw5U60FxIUS214jx0gyNdBZczOGKSDwaoHPru
jlTN7LRelIRGO26ZMDPdBmoLuaZbxbVH25w2BTFK8RWk3Fu3NDZdoV1HmHDAf90aQ37ZxXU1565e
5475NKjakVN7Yg55Gg2W4hIIDgmqBmQ3Q28XzQ192IQus5ZIT2MCEpdmIe90TANztS3OU63fhTli
rLCubqmp4lDD4zWFrrst9OqqGazDBkwp8jjK7+E6VI1rYQLQqZQONWFwqZTitlbrIxl8dwyUCxcX
oRyRtpLabtbJ8hZc3iw0nOsYw6ZV4AHT7XNREx8dfhnY3oPzntqOd1I2/hmcuTmr9GtaoU+Dr5I7
1QPqti+6XrtRc1IDqgE7RH7uSHdNaD3Zg/y1o4OHuGwB/u4+0NG9x2RhuoZx7tiPMZtG057rEglM
J5lyQtZOUp8jLtsWuARqDbqaBk1NnVSBdRV35TRk1ZEO1RR56KTJ6EwGj6GPvb5l/1PemvZlSzHZ
77CFR0/0CmeK+qV2L0w3XgqrgNd6hhAdyEd7ntYqt4t0HMjnneqPnaON7IBf6cf0nn7loz4rzIWh
x3NSAkjRIEZTnCrtvW1k09jUbqua2kzPcx2qt4T5xF07xbImu7U/Yay8yR01JL7AmLn+XVuOfLgn
go2RO9p3naZFC7sp74AyrfzCXYW+Alk/QLdqe2ztUhv2Ca1Lw25nNHwBM6XQpKmwTiQy6WeWG1/7
BJ7MO7XXH6SC3AdLsmZ0UaxFi+3WKJJLz83N2RAol3YofUn7/iYNhz2QbnCIyG4APEw1iHZrSozE
M0cWWUuCTVfTJvdpPSytwVzROxqbjfg1LJZTrkfDTMfmUMhAcGV9EgftriKhkEjKtWgdTP4V4hVh
3sVNc2i33iM45ks7oUuRB+oqCHBzpyVLE4AA4dwxQX2pkjMLGurvNMEyhbr4oG+wBT+FMlURZYkQ
/lDXyZxKi2MkjIy++rGXGwh2q6WF7ITYDQ3LoU5ivN4axHLRGp7RLJWmpW5Xc1Dd/eQ/vIGdLvYL
AOqGvQ3VEU1o1Ze+HN8Wg4u6MfUI+Sqdc81TDrk2ZFbacFfVDK1LamKjMhPgaDImDMx94mK/OvhL
upaP4aufkKu8vPtsV+3mezTUWf1Y9OePCJKrbzF442+3qZ9Ul+nf+6NX+cfHB3ohpv4rnaBQle8l
L/uT2p/xz44R7Sq/qh8gXik4lRVZV3Wd5dX4YvsL6cF9+bUpDhTcyooxKv7GF+scJDZvrtGPrsLP
P+Dz5fz537z7ADw1STV+DdD5k7ciHhpAb5aU3y7nHy/Bd0f4/RKoiHMM1VCgzH54CexR8Cj0ccey
fz1DwP7fX4Ifw8mEYmnIaf7khfjuOL9fCMU8gJg7Gh7Yi729CewDlt6EWMMg27/49b/lJvjuzB/3
j+f6gbtYpoCD8u/P3QnfHeb3C6BaB9B+wf0K8eGdYB6QZ6kj8VJ+0TthzIv+nlH3l0cE+wBoATxm
CmP71x9HBNmyNYpWzy9qRr/WzYBoT3k+KTSL7mP6kzHhx3cCwAWDiiCCvnePgmUe2CadRZjQv+qn
V4X47KdXlAOZ4VBm0/3u05vWAdzC0Rn1PO38QmOgiWNX1SifvhOA/tV7n6mAyFEmgh/MhsoBeC15
vL+ev/1fbioYi8mfnQZUcQARBFW+/fEoyKMxPvs42Z7Hh3/XkuC7h/f32YCs39Fh97k7YWRuIiSH
TP/RKIg+GFMhywbr37wu+uFFUEYF8mcvgobW2VJMA9jS/vXdVGAdqBZQUk17mQ9/uTtBRSj92Wsg
WB3q4IQVKHv717sh0VYPLNVkqrR/1RuB2Ur+7JCg0Y3SVUY9+LLvVobGga7gIMKJ/nxtfrk7gGlM
t1Rmrc/eBsoBE+u4Bv5wn2SpBwARuBHk5ynoF5oZcT9/b7D+q9OiYhwwBhg8AfJHz4BpH9hiXC3Z
L2vCX/Yu+OyFULUDLEa0Xl+H/ffrI8tgVsCVoiIa2b/oZvxaa+OXjdI/MB6YKkYW0lc+nBjEgUnO
FRPHy7Dwy10HzVY/vVYE10ZHHJcYoLfx9X5y5F6gM4+QfrQ8/mI3ASf1/I38/Q2SIh/oEMmBCXGk
t7UCwRaBTSjTwvNV+fU+PQbBzxYKNOV5dYg79vlTvv/uTfMAT5qqjOba/euX2ye8ToufXSazMGC4
w4VH72//ej8gMjOwWdQYL59/OyI2/uyz8Cem0G/l2KnnRw/7Qqz/WH5Ur/3RH7xWIP/4+5fq4766
RInx3R+Oddnn937edIz//5/vVuL7CumbX75WTPfv8/LPXz7gH9/63Xu9fqrXH678x2JX3HvQ96nh
9i+nOcaG/e//gQzJQ560LXYPj6X3rkq6XwT8fkJ/iDr4tln66fHLche/Pezz+vqzhyVYdVe8Pezz
6PzZw652Rb9Ldm8PjMLJ4ln89JH9eHcPlebDK/08vHz2LQ53cVz/9j93cfa/fjvalR59otfz3t+S
Bj7S1x982Cb4U1/o0a5I6GSE7y/Sc1vhs5/giPs0+u7A+3nnswfe7MLS2z20j4/Z6xXYX5LRc/v6
g79/SY53D17/8TP0vKP+7OmfPvic/uuJjmeu0ln4B77Mbf1Q33uPRdG/O7jQRr/+Z896WyfB7u71
OPuzft5XfvbA57tgh55/966p81LG+uyxL/ww9N8NWOiIxtrlZw98uYv96LeT3UP9eqzxirDuH0uv
nz34VVWhLP1gEH+pa332+DePZfXb5DEhreb1ZPdn/1w2/+zRj3cM5gxY1fvgx5fOxGePvqwDjl69
Pe9vld9PHzt991SOxxUqK8XPHpdZ+Zs0+MS/T+/4dtflmBRUvh58vP50WQGx/APjwH8VdfLj6Qnf
h7IXW372Yx37Q1q8Xw5waJl94T8ww17+NDp0v/L5+0P8xyLut9/F/oMgvH792d9/r38RCvXJT/Jz
FPlnD/4vyHufPPzsMfL81ws8PgAvtYl/4In7oRT/5S3+gflwyoz14GMBeL/Mfu5D/wP3zdTzdlXl
l394h9/rmZ99gPfzDEgUPsi7r+HlHf6BtdQhU8EPj08t7rOf4PKRUdT9fo3/uxris8f/s8iYzz4J
/5ip5Kcn8tF+85uU54+70FeJzkf/7P0We/yL++hxV/zn/wEAAP//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_xlchart.v2.8</cx:f>
      </cx:strDim>
      <cx:numDim type="val">
        <cx:f>_xlchart.v2.9</cx:f>
      </cx:numDim>
    </cx:data>
  </cx:chartData>
  <cx:chart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funnel" uniqueId="{918F19FF-3709-4B86-8705-637D7308B26F}">
          <cx:spPr>
            <a:ln w="9525">
              <a:solidFill>
                <a:schemeClr val="bg1"/>
              </a:solidFill>
            </a:ln>
          </cx:spPr>
          <cx:dataPt idx="0">
            <cx:spPr>
              <a:solidFill>
                <a:srgbClr val="4472C4">
                  <a:lumMod val="75000"/>
                </a:srgbClr>
              </a:solidFill>
            </cx:spPr>
          </cx:dataPt>
          <cx:dataPt idx="1">
            <cx:spPr>
              <a:solidFill>
                <a:srgbClr val="70AD47">
                  <a:lumMod val="50000"/>
                </a:srgbClr>
              </a:solidFill>
            </cx:spPr>
          </cx:dataPt>
          <cx:dataPt idx="3">
            <cx:spPr>
              <a:solidFill>
                <a:srgbClr val="FF0066"/>
              </a:solidFill>
            </cx:spPr>
          </cx:dataPt>
          <cx:dataPt idx="4">
            <cx:spPr>
              <a:solidFill>
                <a:srgbClr val="FF0066"/>
              </a:solidFill>
            </cx:spPr>
          </cx:dataPt>
          <cx:dataPt idx="7">
            <cx:spPr>
              <a:solidFill>
                <a:srgbClr val="FF0066"/>
              </a:solidFill>
            </cx:spPr>
          </cx:dataPt>
          <cx:dataPt idx="8">
            <cx:spPr>
              <a:solidFill>
                <a:srgbClr val="FF0066"/>
              </a:solidFill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spPr>
          <a:ln>
            <a:solidFill>
              <a:sysClr val="windowText" lastClr="000000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size">
        <cx:f>_xlchart.v1.11</cx:f>
      </cx:numDim>
    </cx:data>
  </cx:chartData>
  <cx:chart>
    <cx:plotArea>
      <cx:plotAreaRegion>
        <cx:series layoutId="treemap" uniqueId="{A42E2EE3-586B-4EBB-B91D-F43656A58658}">
          <cx:spPr>
            <a:ln>
              <a:solidFill>
                <a:schemeClr val="bg1">
                  <a:alpha val="78000"/>
                </a:schemeClr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>
                    <a:solidFill>
                      <a:sysClr val="windowText" lastClr="000000"/>
                    </a:solidFill>
                  </a:defRPr>
                </a:pPr>
                <a:endParaRPr lang="en-US" sz="100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noFill/>
    <a:ln>
      <a:noFill/>
    </a:ln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  <cx:nf>_xlchart.v5.14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C58652DA-AC02-4B71-B43F-FE9FE000EF34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/>
                    </a:solidFill>
                  </a:defRPr>
                </a:pPr>
                <a:endParaRPr lang="en-US" sz="850" b="1" i="0" u="none" strike="noStrike" baseline="0">
                  <a:solidFill>
                    <a:sysClr val="windowText" lastClr="000000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1H1rc9XIrvZfofj8OuO+uC+79pyqbS8vJyEJAQIM88UVQvClfWm73b79+qM1wFTSOyFsH3bVS75Q
ZKVlWdIjqSV1r3/ezP+4qW6v+2dzXTXmHzfz78/zYdD/+O03c5Pf1tfmqC5u+ta0n4ejm7b+rf38
ubi5/e1Tfz0VTfYb9hH97Sa/7ofb+fn//BOoZbftWXtzPRRt88re9svrW2OrwXznswc/enb9qS6a
XWGGvrgZ0O/Pd7dVXjx/dtsMxbBcLfr29+f3/uT5s99cQv/20GcV8DXYT7AWiyNGCZE+Y/5fP+j5
s6ptsq8fc36EUEC5CJD864d9e/TFdQ3Ln+TmL16uP33qb42Bd/nr37+X3WMcfnv2/NlNa5vhIK0M
BPf785PmU3H9/Flh2ujLB1F74Prk4q/X/O2+nP/nn84v4MWd39xRhSulpz76N028uO6b6+FaAX8/
SxuIHnHkU0wpflAb7AgxLlEACvvrh3x79Bdt/BBHD2vkzlJHKy/+9Utp5fwaUHht8qH/mXqRRzTA
viCBfEwvvpAE0y9qkcF9vfwgTw9r5t5iRzfnx7+Ubl5fl9dmyK+bb+L5Cf6LHQWCEorlw/6LHImD
UgTlXxTnIOaHOHpYL3eWOlp5ffpLaeX9rRmehbdNdl39RL2A4AOKAp/zewFF8CPJMZP0qwdzofKD
zDysknuLHaW8D38ppVzdVtegkeZnOjF+JHyfBRKJeyrh8sj3ASEy+Oq+4OMvAe1LVPkhVh5WyJ2l
jjqukl9LHdd1UT27uP5kv8nm/+66EDryEUO+Lxx9iCPqcx/7AUDnniJ+iIlHNHFnrasKSKZ+obQr
sSUE+OGbaP7vesD4iEnMEH8k6UJHgeQ+gzz4S3R3UuAf4Odhlfy90NFH8muFj/PrT/ly/eyyv/50
a/KfqBZyFBCBeBCA1zr8oPteSxxhISQj5OvOxInsP87Ww9px1ztKOr/8pUDzdhhgb/vzdcSOJCYB
YOOLihwdCf8oYIwEWDy8X/lhrh5WkbPc0dDbX0tD/zLmuv6J6GFHJKBEQLD/uie5hx6JjwTmsJuR
D2vmSW4e1sjXZY4m/vXml8LKpW3K648/TxXEhz0IhuiB76fCPDiiiAlf+vyLihwP9jQfDyvh2zpH
C5e/VgIc5fn1MBQmu+5/ZlBBR5ixQ677YIFF4COfIgCGj7/p/0sO/KPcPKyR+6sdvURXvxQ69HUF
+8Wiuf0moMcSsP9i5e0USjwKygifnuLhfn3wu3VQcsQgjmH5LVTdz8lFAJGMIoLZV3dKvz36i338
EEcPG8edpY5lnB7/UpYRHTRS/Fy8gu/kWEIkEw+Xd9gRF34ASeJXF+qo5cdYelgvd9c6iol+LcX8
q/mU9/+FDB0FR5CdB5Bh+A/lGFBXkOxQA5Jf6wpOfPtxth5WkLveUdK/fq38LyzAqX1zKo/51P/A
nwVH0CmAtk1AvqTm93dP4M+YLxmj0gl0T7LxsC6+LnNUEL7+pRzYi9v+uvqZBTf/iFIpOOfglu42
1RgUeASGePLVqTk6eJqPh5XwbZ2jhRe/VlvtuKivoZNa/fzdKkFfdqtMPJj8Qa8TE4YRgZz8rx+n
0POfMPawgv6dgqOq41/LZ/21Ab/+yZkYhHzIs3xI09mXqHI/E4OoApVRAona15jj9Np+kKeHFXRv
saObty/+v3ZmD1dw7zam7/3FfzomgKGcgAMoV3/to90PJ6AUwgijnD5cI/3axn+cm4fV8XXZPcb/
yzMBj+9a/t497KDpH/81fnFnZOD7n/71ejAR4iy9Nzdw7y2/JQInn35/jhAkTn8PdRxI3OsK3JPt
339/C43W359LDiUGxEkQEMogH2Dy+bMJtm+/P2fiCEkY6oDsWUIs8gkotGn7If/9OeFH0LWDPhHz
mSTQ8oboZVp7+AjSbeZD605wzCF6Scgevr3aZVstWdv8LYev/3/W2PqyLZrB/P4c6Ogvf3Vg08MI
7AUSyEMLUN9cv4Y5Gvgj9P9MOqetKiQ7ztFOBi/NCAXxv9//P6B7eN4duhIXIzPVzOMhyKs8XNdl
eZ9jNn8ZJvmSW/0H5EErd8mX3FPLNDc8zvuu719PbPWzq2xe28/fZx/CzINigazgLn1Zr0pYlbJY
4sCsrzSqpR/mpAxQ6FO/xiEl3ZDuv/+wx3QA6r/7MAO6L6esYfFsiCCh8EnWh+3CxJ/fpw8lrgdf
xr9Pn8vO16VcWGyRpucITbR+M/mlz84WMTRz4vGV9WG9dBpyyA3KF2Dpd19IC1+P/PDAsZJ8Pm1z
m9qIGpsX8fcfcCD0gNUemnZ3HyCKdfIHS4J4UoZPp2whKY60Mjg/C1Re4nNklVVRZ7pm4aFfUdTt
/SYfe9hMfu8F0UF0DzFwEPUd89a8NiowSxDbLBu7SGCRcII+a0W6SYVdNo11aBfunbVThlRscduK
JvQygWvIEL/HwiNGIw6We4eDKlvqsQomEIHAQUT69jMPpuKJ93uMuOMVWkDqJJYhiJfF8D/8dmnD
dLTly22sO76hEmXBDOmDWJGiuPVh0O+s8Qplo23kHd/QelOguzwI4mrg4zs0dTSc05Vv8zzC8Qx9
NZVa4y6Ih9Zb19ifvbHfMd22fCP7jjfAc4bEUpXgDVpqy2hhbKZh1wGUdt+XzyO+jTngqeU4BaXN
eFJXpktf87ru7DvSrdI/Hbxc8lcQWwg7+f7DHrMkx/fgcvGa1mgvadqFs0tTwLTYu3oYvM+b6HPH
1RjhW3+aA5GsLarjJaNeH86FMv0T2jhY/ANA546wZKtoZfGSJq0n1no/9UiPcTUtqNh1RU7lxsc4
/oTQNhWT9ngyDBYPxw1rGz9eG1TNsS6Gad6Ga+44ja4du5TMtUg0VuuV6pf8ZcOZvPq+Lh6TleM1
JjULNEGOk2BvLuLK9JycZXRpu/cqEGp+QlSPWNRhP3/X8eUi00pwLZK+osuJV6/+S5mhvgq//xKP
kSf3ybdpsfggHJZY3uE59MuZfmBrq+Nt5B33YUfeQhWVsWSsQANDldUxtR7XG7l3nIctSLNUSykS
akYFOljE7IXGX4p14wMcPCvpBZ2cQfoS1V1zolHQTHFf8nW63CSgQ5Z8V70cL8Qgb2aJNHnxjgtj
Luci65Zt/DMHaHzpYf4apn0STehQHA8rmWWYq3ryt0GMORCbi6VjA+55okym6Ymp8SjC0tL+qdh8
8DwPeCTmoGzJysyvJ1Bxly6635UZ4fyy9taRnWZDWqt4zvDS/FHVgvxpm2xqnvDkj+U8zAFeNWcp
b9cJXGElKn2aeyblkNkrCWmdGKaSDmEzlOsYFTnT9V7Na8Z3jE6kfTP6A7MbBewAdEmZx4Xy0qTm
nt2RYuKJ4BV5wj7QASkPiRfft79gHOaiw51MiL/2bbyidBziIF3X6lhLwpeXmanbz9qjU31MV9EE
FzMhuDnHXIjyD6FwEDzByiOeiDlYFk0Z6HYqaKJ5akjEVnmr53nqtvlR5iC56glDy1zypPf0lGQD
olWYEZF92oTjwMGxRT0TZZnRJNOz+BBAdLswvldvc6PBARx3st+OZE3peVwmQQU7mcgiUa+hLfrF
PGFlj6DsMP539wGm6JYAz71IhmVK8Ymgfe9/nDUCxOU499uwKayuQ7wynd3oejV4m1oCx3+QqanA
iHqWMJHWNtQdNnW4WOpt9OCB4z9WuqrOsp7HtgtQzJYx262s9Xbb1O44CZZKvym7eU2MzYZkbXgZ
sl6XT/igRyARONiHAc7cmyFVTUpc1BEeULlLlxZvNCoH+rDraQUq2jXBsG8M/Ry9bzL6VCL5GOsO
mhHTDZ2rbE0yvgzndml8CM9djsqNduPAOS/toEm/rImX1vIEj7PapUTQZJNaqYNmosdADwqoDymm
0US4CU2Nim28UwfNosGrGDmo1RtwHilix5ApTrf5UepAufS93p9SsyYdKqq9kU0WjQFd99+XzAE2
D8QL6uC1SYN8XZE3JZMX3MK2U417OijdJMPE2cY3cCBLRj42pUqnhABwX8uhLWNEW7VtO04dyA4N
pELTyqakpQE7ETKwu3JpNrob6kAWDXWVirW0SWYq+qKoan6u52oj6w5iIVCnSiEyJF1bpijqA2wi
ns8q331fuY+AljqgDdLMKG+FMo9uivlUDdlwZtO02ggqB7JQH/VGZMth39tsMm/I5IvqZdALlm+z
G+KgVqFi7LIRz5AS2jVSOviwyKV5wvAfkQ1xQBuUnqJCpGPcVTkKibE47KS0G1l3QEt0SXFaihEk
733oMeR3jZzTbWolDmaVXnvPM+wr6xR3OAxGtpV1F62BSK3I0RjLCYrG+EDdbBfMQR13Mh/ljzqt
DFCfS5lHVigbMobLjWJ30JrTQLRwGgKoU3zbFbTaZ0W2sbJFHLQqOO4rigyIy9XWScVlDzsvNm/L
DQ5NlLuCmQfC02pRYxwM6RTOaMQh0umwLUQRB6t1rnHTEt/Gzbg24ZQXt7Zc0TapYwenZu0H3eaT
jWuV05DR4IM3GryRuINTPw16suTeEPPOb3ZmLq6NXc1G4g5MOyPnEjJhG5dM5iEriyq0PeYbqTs4
5aT0ssKTwLq06NxAe+Qy5Vm1rUWFHZzOluKGAuVkRXDYPFwbwYKdN3jCbLMZ7EAVd7Osrc7GZKF1
04ce0UGiJzzcbApO2MEqKlLct3MNkTU11aksDdoZVS7xNur4Ppxsn2qSLYFNBkn+RCV+ZSh5tY20
i1SzlPWyeENS5N4FuMcPC+Yby3fYwaksipqjhg9JOeViZ/PgqlVpu02hyMFpo4zXS2Ft4hVDEVUl
P+O487cZ++Fg4F3/BW3hSZtZeHFTzZ+KBb3HQQ1jEBt6RchBqSimzIN4vSRA1gzhik3OwsWQbJvr
RQ5OxyywuaL9kMCYiP8HHcAPhKZY0bZMAzlAtV2F/SptbVK3/bprZ/4xL3S6UewOSFNRdHwsepsE
S79Eda2BdfVU5/VA5IHNwWF44K5OZcNoob16SKDbL8+FydB55aX6/Ta1OhDFAx56uKoCzDFP85DU
0x9cFBtV6mB0pa0s01zZpA9GEiIxf6g6cbmNbwejdKLzVBCg7ZXmitrlPKDmfBNp30FoO6VpNpBs
iP3U8yKvTM+K1d9YH/AdhCKkNV897MUwzvmyXvgH0S/VNtfiOxD1csjT+xZkUuXNqzZr92mdb/Pk
voNOqqeFzFBTj9t1PO4n/IIG2yKo7wBTL8HAWg17O1ZnZ6Kdk6ZPt7VZfQeWRTXMubXAtK7frqON
Sv5um4U4kKxk2etVgRJprj72s3wlVrbNTx3OrdxFu+1GNS8TG5LFlOhqXQaclJaY3TbGHUSSJp2b
spBDYjwYJcCNOpap/GMbbQeRqipMAJeheHFQQHbr+eyaSrItsMH8+X2xgGF3XeVDSM4LNoeBod5O
Sj5uAg6M+N6nLszIBxqMXtyxN327E1DF3iITKh1E5lne0S5fhsQKGOaYiNEh6tjVNuIOJifovy9L
k5oY5fp4qqC335Fy2GQpcL7qvkh6a33lVUBcVMElsfqmoEu/USoOLiUNFr8T0sR9TS4DoD3bcStt
B5poKjghM4KyMSb+mRVZedrRmW2UioPO3NCxgnwWDCVYWbj65duK5ZsSLCodbM7S0klJQP5MlqGM
fJqydochAyo2uRYqHYDqqaYp9GqGJKP62pvG99B8eLvJFN1hrZEQv2cE5GJtFuw6q4qQwHnVTXkE
FIQcW8xHDvXoGRif50vb+qfz2G1EqHAQWtbcpzwnJhGKnFcwcBjD/D/eJnF3vspmPcxc2nFIfF29
ol4VlX2+KUmhwsVn4DVLRmqTYBzgaKpRHyFaft6mTgegC3QUjKgHAwMG7ENm5tOCB2+2kIY++X1d
inFKdVPmVYJytuxE5vuXLVQAX2+i7trhwoqp9qbO22Uom9vT0kf+BcY6sE9YIjmI99+TceKaIly9
hmfGbJV4zAb1yw6hxh4Xauz6/WICi/cwfcvMrguquT3zFqhan2ledvUHOKZA95bh9YRTbwlCuaYW
+rGLp9TLuglmHNVdtxTRmuXp+rFNl8LuG836NrJBOd+QmtIXoy6H06XIxz1J7QQkoGueh35d0PUq
R7AjfqUOne2rphDa7BrL6Qqf9lOU+xArLkqde+sO/toU5wSn7XizTegOhMATdvjQwoizFJUXo1Ty
DBc42zZtQVwQtZ4KWuqPKsGzf8tw90qi7HIb5w6IuD8stccmlZAVInOF6QluzVOt90MYfshUHBBZ
69XZamaVdBq6+ye9WatpJxeT97uJjjI7YZJV+Ydtb+KGvU7CcdcxUImnPRZTNVX7VVfZJvcOnvs+
aPMltYj0RCVjS/Odl67vhxI/JafHIOXEPeRnhVW9VQmrbPEG8jD6UuTZfD2XyDv+vnQee4TjdPxU
8gzrTsVmJort8qHruyIc+z5dT4oJamBPhPBHVO4OEvZYZXZkVRbDdYxK7W0wo3AqvSou6lXgCHLA
8Yk3OhjRA8bljhRmOZ/rtK9AaA32IkXZe3BE2wbAYPTnvro9GFFIedOoBDXyz4FM+4GgJxz0I5pw
hwc5SZVYoWq/U1nHhxNZmWDfCtktMcvGyt+0pyT88PQ7/Y0AaLOi4B409mH0GLpj2R+y49uK4cQd
HjSL7Ipi6cuE82DYQ5YmwjRHefR9W31Msw6Sx8KfM2JRnhRU0L0el3onZPHEFP9jxB0g+0yjquJV
ukNjceqnJKQt2yhzB8YL8SvTDkB6XWmcym5fFzjZJhIHvguMThZGqnSnCvyCB96LjtXhJtLupKDq
/cPRmSLd6XLqTktjhsQLyJttxJ28NQ14Pi7EA2NHmYm17mm4yIpuSi6JO4XoS9Wnge8VCS+MfmH6
+X2XLduOkxB3AjFjPPNGbIukWnC1t3Jojv2uUlfbBOPg01tmuKO27oukKMtup3Nx5vHexNuIH2z/
Dvjn0u+sIa3cDTUt5j3G01vdK1VtFLuDz7yVQ1fRRu6asbtQVZuUfbstiDMHnUs+z1mdQSJVDbYI
G9v40VoFT3jeR6DvTgKOkM+vUBMEEJmxDVfZR5rBGaRtMncQusJYjxkHXUCdo16iJtNtF6Z9I7cN
gMARtvs6lfUCuzQVSCjNtCsORZX2L9pZFdsqp8QdBbSsSRveEbmrpzWc1SvUZk9IBj0id3cIkLIV
wThblido8cj4wi/qAEoSGUz/X8FsVZsUgVxJyLuxDmI243yKukEFI8zUa7bsOyv9Ll41yvB1zQM8
JqkgBd+0iSTUwWElB7ISEZi44HO/D9IBTiF5altXhLgzQWTCZK3UYGIy1XkE/bQrKMLOT8j1MbEe
UrC7KPc6BEMGw2Gn1w/ZSUF8YePcKNPsNpm0O+LYFMXABMr5bu5zBr51KW0T5XDlDLnZ9oDDm915
g35Qdh1TbWPb5jquBZ12WtJNQ03EHXKEbDMgmtQ2RochxynooC1F+aZjY3CO+D7nmo/UpAMQHy0c
VKsM7cK2wtvGAUjgJBI0t9D6s42NcYl0RBQqw7SpPm4TuuOoWiXgrgCSDvGI8zoUngfVqpn622KD
O+GYiUX51CND3I58ClvVZxcVJ8O7Tby7E4500pog1g2xJxsTUbVmcbEE2wTjDjgW/YTapq2GGAby
8WVTz+oj81e+LYNzBxzXIJ+6wY4mbhpWRXBMD8ZfaLptxIO444F26mDIji8mXjhaQ+WrPuJqY65C
HWMPlGUe6YD1tYYBj2lYPvt9vq36SNzZQG/VdZdWxMZZUPQ7OeV5BE5t2zgvoY6xr9bStBghseIa
fzQ1eVPneFtDBu6vv+8D8jqv21ZTGxd+74ezxmmcpkhF3zf1QwB6YHvrzgVWSHVYtUTsWVoF42Vu
66LeLwxX/Z72GqLg9x/zSBAhzkY3HUlKUQkvATdeersRB1nUzLYNt1F3QpTOUz4MDKhnWVPsBCv7
SLbLp23EndCtSsCUWHEf61kvUVF35c7U6bboQZzQJDX1hzoI+nhUdtzXucAhHHlat4UP4mTQSw3b
jbWf+njI12qPjHq7ojLYqFIHrmte07WFWk+sRc6juprLqCr6bd0luKr2vtU3fOEDF6mOvdrro3LV
TUj0sm3WC3om96mnlFY9KpmOi6HLozWoq0jAWdfdJotxBwQtWqDk3GdiX5bNerX6en5X+s1Th08f
gRJ297pkmpCFEcQ46BGO0CFqa7hDcxuUDhdv3s2V4E4MKFcvUu6pB6Xz0btpq+Zqm1gclCqEUQon
7vkeJgPTKhzXzL4b8tn8sY28g1NUtaRd/V7uA103bTSVM8vPGKoasQ2r7oCgNsJCKqzlXhoUlhKf
Vv7GdMYdDoTRvW5YMJCuKYS/XsS26TYaowNTONFdpDnv5H49DEupCdGI5mLaaC4OTEu/yod1aekO
5vaOm15f+mzb/DHca3TfEv3Ahy1TXdMda6ekbLwz2hSvNpmKOxkYwOBR3pOG7jCzNUqorrQ+yafa
vt1G34Foo1FXVrble9qiGQ5dUkNPu6UWT00gH8D4QNB2JwQLT2kqppTta+2Z4yEdx/rCcD/L4rTu
eHqS1euUnw9r+gOb67+OtD30UAe+fMFpM5ZdBXu/eWrmCFVFhXWsFKCu2ufprKqwa2u44CJsSAex
fS6XvuEnbaVZXu9hY12qOqxWNS4nebp46TUhk9JJ4y+8VSEpl3WaQkhydHemGBL6fDTphNjJ7FHe
qbBfq8wrQp/IgmRhP3ANiVDLQHVhILs2u9Z9XlsUUsWL+oSsCg6I7RbY0PNst3Tj1EdqIeX8BoZO
p7EIAwWXgsDBwKWYTRMiaT1GQ7nAYVJ1jLRicFi2hprlUIdt0VcWGDS8bd5qXMNuoOSl+FzrGn7d
246OO7g4Fw49WJCQisZxwkWyLnaGe1qUT0xz3ULRlttw7pGPpjAQLMs/NAVV8qbOLFwNEnbL2vZ1
CPOB5fLH0uXiWK/1MocNjJmZaJoKg9SOT+2axiu0bHDs4XQ2USrA0mQ0smkJ6h0e18B/gcTI5L4I
7Fonbd61yzGcK24izvTIzkvfFmLnF2QiUc5ZB1mYqMVO1HBkJpy7jHVNZKayzbPdIGHTzCOokMxZ
C5x1Tc9DuJuPn8DoVJGklEPaCL6E1fYUtNXmRdgLyOxCibyq3tm6wX92Q81207LO/MYW60L2um8D
dbH2WLB3eYc5vyBDSsjZmubCZrtqtTDovZeTRa1JVsZtdV7CEXzQly4KDcxl/iozu/fhHBRkY7Xf
rup4YWSePnaiLtosakcoBp/wvhTyCs18NktUNRTuHsqEdxgcr2zVTB7cMrNWXQYzN9yONl5Al217
ggMopOETphqRh4opuWcqb6KWzVPdQ0li8cx4yCxH88K3RsVTDz7qgrWZLa/mGWeNAHNosd2XJDBz
1GY5xXCuJF+qHexrcvFBDKRpX8h5hSJQHvh27sNJD1DMD+FCSo4hgxoGQkgk4XusyldIiZ7tYSRD
zS8aPCGoavsDTGOu0GYexgyFub8YNoR1zmAs06/sR1x5Ytn3I6f6DQ9qJHZ5aoLyI+x9RAWgqWk7
7kwZtOZCWT9jVwru2qn35cILvJOt3wana+BhdYbySa2fiqZqLd3R3mvpRQegzeNG5ws+0TUqu/e5
Vwsfg3tTGQtCXlOpL/xhUOgjLdNULGGayTpLpmkcg1O/L2j7RzmxJYjglKyv/TCb4BsK4DBYwKqb
dJgylYWqU+JjQFin3w89XfMIuksQu5hC7XI+Qf1dwOLWozdt2Y/rSY31slyp1Uco0jkg6aakYObH
mcLrxSD9bO/jTpQvRW85i31R6Px1p/J5vZy4HLEHneiqCMTucHaJnZhpaJrPCjo3+YuSdWRJ2ras
0qTDEvUvbAdfzxOVh29U+iAYfKHVJzSp9AK1o3cKbaT1RlaoDsspyHYZjBR5u7lYxXQKp87H9RjG
jcgflSyo3OkKvjTuFV/yqrlAWVqgk6kt7BJ7XV7Ox3LpfZZwNiv/vc9Slb7OO5npSC+DB1PUpS+N
CmXN4OqvcTVBf278dfBPiGa6egtH/dP2pYUv5cj3fq5avhvmcgTfOQWiz/fe0qD+vJMju6lmA4ad
Qt1tepnPfg+uJG/nKWZBO/TZzodu1fhClXAkap9mVpfh7PExu8qFkfSk1lqzcEi9nn3Mc1nqKGuM
GspQNCj14bYSSuYTU9Vm2A0T9r3dYBqMwqZaJ/2BDBI42AV+hmAAegYuCi8zfVjOnmni5jDEE8II
7KouumnOaRzofvoT+8vE4EKmDC6Xi+DwODuHdCm7TQHCPCqrHNcRq6egfb90cKMbjETVNQxJhkSt
a3EyDayfrha40apPw7wb+Az+ftVT24blAGF6CqHiPZqbyY4keAeH9nsICGpqpHxdAZWDIvVg+xiu
fYNOZ9xMuA5CPeomSCqJpIrHMSPVEmZoEOuLaTYZVC1muItGHvvpAjmi38o8PzFwL5MXrn1ReG9Y
oHq8yymz3s74I5I7vqxr+a73V1Iej8M6ycTWrZfuugmnyxmB634ufWTK4g1UkfGiwqKqBrmHc6bZ
cCoV7GAuFqgriT1VBcS7IU2DLvJqms9ndeaXKmrXHg0R1T33BjjjbdJiCn2wIPR68FVNQ9vQYbgs
Zp/j4xZaxuVFC7OxRReOC4UrN+AkYthNvUQniEgzvAxM5zXXuJhFdcYqYsDGmryu8k+kEitYQg1D
niZuM1GMe3izuYyDWlHzlqkxT09NVpTkBM7AsOocDiDBLT0xuKOK7eByFZLernC4Ck5BmrwMjk1b
ZFkywq1BBdiIgMmr07wcFn2sy5rgLMRoGv3YaLgnLRyHpcFv4Jni3YjyYf6zgmOmqoskzlsadTCw
nUUe+Kc0mlM9vykxG8ixkHoVYdA0UhzXYy+8aNF2gEuo+naao//l7MuWJMW1bH/lWD03fUEDoLY+
5wHcnfCYp4wcXrAcopgECAQS4uvv8upzu0/SNVzDqszKsiIDxwXa2nvttdZWnomCFA2FuHzE7XL+
sFhXVFdeRxg6R1XeePNr2659d10sfrkiK+rW5TtODd01UFVgNsvTpVND/ZSWQ7Terb5grUYkXl1+
jms8ekhTQlgU3VoE5OEBenk9nv2pFNPVMoWCX07updRlUmAZtU4mgV3ug+FarHORDpV17omKRYoE
1kdxeIpYi/iWNNTW44M/BfHwdR21YnUiJ7Pws2PUX+4Z3v7yU60XmFbgS9I+f2gAh9nnuMEiXq+k
HpdDR2c+XeH891SBxSWtOdo1imyB5GnqVzzMsTAnYxuv/RAFbmofDdbMXA/1OgcPtanKKmV12etP
i4oI/9ySyMVtAk6h3ymsFJXFjw4qC/8ROlcmvvYsFM2XQQ4NQX0FCjVN25rU0VUbTdohfyv9OOyT
wZsdjkK54PhAtgeRSehxEx10TJHtJHETed+gQ3Us9XGo1+d1HprXaMb7fWx8K8O0Wlb0X9qoYx85
AS8ipS7O6xS1KIvgodZHc0ZkxEOT0MVvh3tVDiURSQDC/0mJWvZ3tFXWk0moo+Vr3Q/TcuJBxcxD
0PkjFDvos4pXFne2PBkJb43HgZT0U6zhC3HQLAcUEFfeFN67TuXRyR9rSx7Qf6Lds2wivd4EdTf0
CJgMe6NIWhDV4qyB7GK8y1sp1JLGjBWPDswXL13CqjXPerWDGRJJA2JTEJ/zJsU0zEo9NBoYU1K2
hRyO1Gkk0ad2sMExzmnXHUY/J3gSVSmDOzari/djqC/JT0x0VxapiA0nh3Ye/GBOmnVxH+tYNj1P
1pbV4lVxT9O3Qof97djNyLjSsqi9NKjBI3UportJIhvS6SOZG7dcFaFVOO+jxUeaTqVq1ZQ4yrzp
XOEW/Ke576YoJTwcDo0r5y5rFmz1z9wfrTmRqJEBvAxGkCQDVtH4QGXJu0TTYD0JHEZ2Skae1/p+
BnVKdGkbtpG8bXTuHmJ3sUxcx5Xe6Dhu/GMMz4sFxyhSjsO4MoR9K41XnJuw49PrLPPAPHfjHKRo
NAzki5O5NWluS3aFdA0+e00Zpz26bsm41OVVOako7Zh0KQ5bmq7rJFTSwz4lPEyjT64K5AMfbRvR
myKWaIaEoh50WgYkLKDyUCTpe1aH17Et3A9WiLm+I9g6bbbWehV3g0fGR99CFIISiE63BUyaV+RO
ARsfjadktk5LlIaiaO7QFPHmFHaHFPrFkJd3bozJh956xbEhddgkbbtMN6aR4qGw0NweGrzGKV9m
m5Iyr64YTLlv57Bw10WwyC+uMPWLoHJMKz98knxsP/BadCIpfKVBO5ll0wzJ4lfC6qRAtutODn5T
7io0pHgLg0VdT7WLxQGvc5i267wup26s+bUDfZF9sF4cvRTSUgg5ydRF3lXeRsbKJMebG+cJc6X/
o5pyN33gGJbkElO1SwwqZ2CsO1S+t7izdMvqN0k8Bk7Bi3MYNEEdU9G+PhShCbxrE7CyT6sRVmfX
Yxnk4l57i55Ohhvnv62hJGEqHDPTzcwUL74gc20HiJKJR65UpSp2Wy9Gwh6y6IxMbKDG+I3OUvkP
A52pOk6jcl0mQx2W594zQn72SriP1il3Fa8Ovq7LKZl5hVRUTHNUpaNEjmKTnHqUysRxN1ffl5jT
4dYsvVm/wcbGIh0qp5jj7ZbYW1wl9Trx+gh9Q06yMZZV/bQEqP2Pfcdoe5qgofQPqGiK6Dxc6HfH
IWoJfZhLUvMb8GdpcAjEwsU5qKHm+rXK+7x9mPUUKz91ojDltR409cOkgg0QeoxrTaR7QmkcEVTB
oGyuN1pLjbhQdpEN7lSLLfnSoFi1nxveiDPDCGIUyK2NPgeaNt6XFl1KlMlLz2GbBhC6TPF2IFlK
8tkguutxXg6mLcb4Y2gRAN5ii9j+SetBkPrAo8HDeZV33DMvoV3rpUg8QiKaTFM+tqnIqST3eo0X
9yvLayF/jFVbdse4hvfYs5PlIo61z/vxEa6wvFmgAoceJBOVR/rHELsMEdGn4xAjPJVLBLCw7Iau
uqqpX9or2pSN3x7YOiIFSCTMtgsIR3vUH8j46iF1Rl1yERg/TPapnsaxsJloimZ8k9rrzamvvUmc
tRYzxxNbhR0PA5GL+dIIvnjfwrIR+stkm8GcVOG3XiqaObiphiIP0wHd5OnW1TUr8EiiSqSFBsqe
jsoMSEqHEDLQt3mFriaDUV9+2xdkyGy+xM8DJW5CdsDXVT04KWUywuAvMT4rZgpHorjuT87G3KUF
PBHn80o1CrRSzFGiJ9t7KpnmyeqnKLBR+auBGUJ8XBvfLw/wFsW5mhQaqvSrHGn2bSXnGm8dDVp6
ndcwWbxRhes/ihiLcKDTxAKZ+BV4A29arrWHLNX5XraseK8z5AFBdD3hCKi/WkurDCVAID73EEVG
ZcpF4VfPsK8pS4jIgjas5gQvGadpjKjqUM15XCRrVAbVfVxbf01HbPgPTcDbo8yrsMNWy+fr3geC
cQe8gvLHuFvC5tqaUXwDEvMJqcdEQpgwhKCA93CVIM8dKfIvLSF1dShaBMWqHpu7afKRma3Oi+xZ
RnGZqtXBosBjhX9VRSOVd8NEtbwb81nfzEr19VdYyk7v3tBofVhmD4+RLdFbM7NLc6eJcbYvzL6F
yCWmQ7EOyNXBa5qWRNqoPc2QL4RJrWyB3ACtSgN7rHgBXotIqIHvTPW9VStS9y6+ID3RIse3BslY
QjgY6GdA6ULf0iEevEcagcQHUlDUFeZswqKYJB7K7HydRH1eV8fFp3EdHes4rJ6KAW7Sx6D18+HX
xZDGpF4J5OpLjs63fxx5rNmxK4kjeDUr8jJWqEcy19U6ITUCqErMPML3qiBz+T3mrSZv1M6lSV2r
A1Q7EZNmSWoTS+9zVQX5t/iSmlzFy0zUBxeq96mRE0O6K4YAyWzLmvlKwEUgTkU4tu89x5ZNYoj8
UxgJ+OwoBYt/A/8aumIRXHysJcsZShnYMJ8WEtnokyo8UWD5RA5k0BNt3SdalWtxQFLS2mse9v13
KRcaIM6xsu7eNCYX1SkZS0uv6om5Hyidi/VmlCR/b0u5Cg7HYGfIbVtaNnzwckyKfQ8gsuc/UFqW
QEbqgt+KfmwQO/zSpaQIBvs4ijxSh65Cb4kVYeE/Vh6mihxCpB7+DbcQZp2EGUNyWKbVp0cTGm0S
2c7LC1RUAfuoRmGePI/pj3EeBR9AoJjWrM+b0F15PQrjRbaLOYYshgRorY36iDVvbrqgAa0trGHZ
m9Q56899KcSQctW1NlFe3nxaWxhlDrxF20gxG96Mi/Ieo9Aud6FYy/jU5z2QVcndkg0QomeBkv6Z
wVgVMa+j+q0UBXcPquiVPBnjzW3ChzmfXuzcc/tFC4niTDvLyk+AhmmUhMZhHYita4QFQQPaI+OI
4GAd+9OHcgmRJFJACUWBLKPmXgYK+eodRtDg+ZHHBXATC0NmOBtE41plRPnqDYLNunkmcd9O6QLN
9nOFG0loZQI1pwjbbrLJCGyMPqimjFhKFW7nQ9/ntj/VQ16XKWGRst8uXNdz38m2vVmiaJX4jMbT
z03ArHygRWSRsLmKnuJYef0VKJSRfQIU3R0RJrruNHJe6wMpjQxAl4OV5LG3PoLIFPXXF8fp/mOu
eK9QbluQlo1z07P2ytqkHZ8Dee15pl2zGFX4D4/DaCWRMJO7KdZ+wfbJYyxHY/1jI9icDsNkr2kf
IOEsq+7GqZI/g708QCGQIyjQhnopZVH+yVtBJz/FUMi4D8CZFoODSPvBjykeCxLBNaNZAQ9oOavu
3KFDUX0p10G3KZ6U5TdxUyIzR8SUpk3LIVdQPA7VIu5848dRKmyo5vPSswH+2TDyhZlibsK4Sjxe
gZ9tBb1sQq82RQE/tgEVE4JPc6hXLex5gihDJKRfJoltjH7X+4yzMz+rcfKLg4EGzwcTsyUseOsZ
MrSDsWIs04iZEFqfKXTNWxUS2h98KFSrTxKABkvabi7LD/6yInoUnhcG12EUtDxtBZHk0AMNM2nf
GUBbCURQS3Gog2j0H5gaxvgJFgKVSRx0Y+o4u5z3iSMrQwYjVDB990bosBMOqYd4gvuFibLSKRt9
D/Gl7EeNBDW85TqQUcpk1JBHWVjfJlKhKCgr3bbPzuO8OZFa+61LeNkpAwCz7NYChfoEyAEv9YKk
EEbL+QB3XKHzu7L3q/UcMH/p7oQCTpuEilooLFU5vmO0R1XekzXvQO7J/aa7gtTVI491HEch9tRI
V4v+T+fUCY5vdjyBLqbaFF0VPn/rbKs9WKqtU3z2JOCUT75sL08oROFzCEahapWUKMDa+xn4YZNC
XzHpOWGxCsiNHxKO4pJPXndVgWdhvlnihD7kYZhPmUW8toeRK9UcJaXxcCDwsJhgrD62rjyhGpTi
Jmc870G+lBdDIfgr9Ye6rMRynU9+FKfQiRSCH2hX+9hQVd6in41WaF9ch2ahK3KWSbErgAQ9uvUD
crsEOGzQJF4zrfVhwGsgT2yZg+E9qngjPdQOAZsoHDKjfoDPeyuh52rQIZtwmLbIE1nqyVFkIVHE
LecmiGn8No/wfri1KO0XhS9esZohB1lo/8CjSi4fPXwb4SVlMNF+PgEfxL5PTbwadj9fKuib3Oub
BckX+LJrUru8KB5cG2gUK+NMQ2xw1gCzilL0WjiqVV+3ovteOVTXIMi5qPXfx8l4A5KBiKNg6qcS
/ST4W/TjtRb9HD9wBI8CqWJcrz+aEt2IL3Vt++bECtZ5FquraAf31nCsnhjSfexlIjB45KSQGg3v
pWLcxskUCObubcTm+DUAPlfBMAL4//RNjGxu3pQ3995jX6Dh82QuhapOcc5KkkZm6LWEbE6N8ly2
6HvhJWGKnsYIhU94hPPaPNxAAVhwm67oIfWodKsxqqKDz8MpvrEKnaRbZNdxeIu0iOmXTtbNeB0V
1PZnb4a78heM5Mr9NLzkbKe5b705kRGxMOb3+Zw/ebOeK8Q4CFdTgcy4O7q5jcf7Sk8QurTcj8zr
KsELTGNfo8lTUdnVx2osvOl7HGqVv1KrEfw7KKJrs157Kwx/kbLKvpRnqwrqkE/BFDcNomWar1zf
CXo1AmW3mWwwtOINqCLn11WDTmCq/BYEgKMagfnEB7ybK7CtC6LmnYaRkDmlYVt7CfbcXai0Y+g1
8jKfTn4AavVwqrwA/Z6wQ4vHJRKmTHHihkXxw1hGnF1NyyzWK8UWz+9S3xE7C2B6BdyV+lkE9S0P
Rq3fuOa2e48KNre3SGyr6CR5OYsXa9GaOcgirguoE0FIe6y6ToY3eSG75sXGWJgbR+JGX/szTDju
DO6VwAPZrfyxnqO2uF7qUTQfUOhVuUn9GdnycKj7uAVszQheMD+F47ZUXhr6NHTqgD5gFItTAzpg
4sYh+gxfZV8HqRCadu2xRStIz2ckYCMWdopqNT7inO4APIOMg1YacjfhXiiWHeIqwctm/YDuSb6c
DHbySaxrdIsiOvRuiJcLJHahPwMYubTxYpL5dRiqrKmjgd+usi+qJCCunz7bahYMWP6sDTlNhVpc
mQQ25BF6nASkK3/QsUlDABv6S2tYTB57vRBNTiDtkwCYxsJhBx2PqzB1Klprm4Nrx4sH1aTDez7m
rDszEa72aujUTA+Fcaq7Jdp1FBCpj35r78ZoPlUA8YPE00HgndCjnKqDjAuBslMNWiFDom1Fvy4R
fKdv8rWol+foAscDey/zcf1BO06Lb6rpfXn2KaSOZx+o73DXeAAbX2XeEuQ2HWfLbcA87X51A6/V
rXOFpwHwLSROV4F0JAG+PKO3UmkNst8wsbvZb7VNJwerwfOIW6gP80pIk4IbH6JnztiFo2rikwA9
+F4aeIl+8G1T6LtxWoPuOoJR1np52lEOrYOYHLykdcTqb4D5PHqoeewpnTQa9UyqO7zt7RGZdYMD
EoH0UubbUdkH4Y2Gps7zghGbJcZ8mFQpfllBoQBXIZMYuXjQkZFenaxVVP2YL+fjj2ieFFDwgRfn
oRcuSHzEO/lCx5FM2HsFb4cpUbFeuhQQE6xlotKv/AMl3AO9hhZDfk/KaLInhNFpORvZVeZ9qhe1
3PZr1PKP4zKHDMXLUM/XzkXr8jGOWmUeTNgU9Eq3c560U5APCbLR4gKWq8XgzEUD8zF2TkTXuoTS
4B6NknYAHMjtCmhraIBacVjdMT59hXB1iBMIi4g9LiGmkSDDHspn0CQCZEQGNq7PNZiNOBehyl/m
gzBxLt4i5QvQtTsf/SyTdfk49FMCL4acJX0MHgFN0fse53cASQXAWwA2Piacx+FaeUk4IX2tE44o
OwFDlD3UHgkxGnXnaYE8FHYi3cLC8jMU1m4ek9nC9mLIWjPxqk7t4INtfQ2gaOHBYaQlqByHf9Mw
S4IWFkMd0KmiU+qDEaQTL56GPLXFSj9Q/LZ3Y2xZqLMoL9hvgfJ7UZeYyfKHnujxCLRgncFU9nLv
/G/5vPiL00xeTXJclgMG7vRzsrqSP6Bh1c2HMIf4ex+DaWtXFTrWtRjOJI+++FSz19Cc9nGALvS9
fxEdcEkN2jW4Lq2eY4AWFd8podnaVPWLJCKvouiEY9IHiCSMf6cRrf/KTPsPrOPRMvj51gGFkQmM
NHQmPOy/oeyr6aa1Xl9d9XpUAJyIqVnSYVIReVw0oFsUWLXnp7234Dn9+fJdWEW/xzbaEMswHArO
7t4YnXr4H8oDTOqXO5AHhxT5GtqP6MXF5z//pD8iU214ZuOg8apRGp5gCDBEL5Pr8/mgCuS5B4uT
aU79ovQkstLFdVd//pF/QOHc+l7V4IfhNCH8FMYFQY886I4DsOa/+EJ/dPUN+0zBA0xHpeBgjrTf
mjF4s7HK/4Iu/kfX3tBDkaYPrSpyfnKiRMEwunM1S7rz4huG2RQEU9fPIT8Bgz6ikVoleQDkcd+a
b+ih+WKqiYsqPBW+p3GmmzwJSpz++66+2e2kURTsIKwLWdswiSYBX7q1f/nzi//BG+rTn/djOAat
VUuN16WMBPmhgSnZ1A8dgRMJRlSpRM1gY19BKcTVLkMvujXHwtgWG3l5z08wUOQf2TDq+zoAvPrn
X+i34Po7u9vf7O6odhSwUMFObSxKINCicxbNFfzz7oIpfGPIvPF/OhZ0YVap+rVeq9cAbxq/ynU1
l6hVivIIP7cfi6Ewe02mCCnZX9zd77/jABR/Xu5lnCCdJ96YuUCiou+j4dS19b6RMsgpf7468gAU
jph7BJzLXw/d2t9HVO9z8GDxZl1nRXRTBnbMeswNkgkyBO/GM757/vPn9kcrswmV1qNALdkMKxzj
foBA9LTo+NuuS28NHSY4dpUqBOmvCYvnBXRcv213aS9Brvp5xU0eNyFg4jFbzVAejUXI9WT3fd99
bwJitbIcgvBGZ4iHcIdw9238V359l8j0vzcJ2zo4WA9G2kZFY1a2hs/JGIX13RCqBUYXZHbpvvvf
hEXedEuHhv6YyYp+kSX76Kl9ei5MrPx53ReMipNhlI8ZQYZ5ZfQYJIFh+2YcsGizSwtSQshFCW6c
BR9b43UJ89TbvkXZ7NFyGRT8CkqdcVIxe1zp7JDvoHffHPZ9wGafsrIo4jmWeCUX76lqySswnV3G
Eyza7FHQGQc4jeLSuRNPk1895DTcJYAAGefnBypjh964cWNGUXNmXkymp6Cw1S6xEtsOuiOR8bmp
8Cbm/uouGEIGRHuf0QrbWji0C2ByEMrGrDMgnqKMOQ222HlgbC0cQFSF/k9gyREeb4wjN5Ivr7te
lO34KGEL9FqHAn3TvOiSaHU3YoQT1b6LbzaowFsCeKAZM3BYH9EPux39aed9b3bniH5AHlpvyJCn
f6yC8Uk2w6d9d73ZnPnC2qZQ9ZiFWJlEQOAP9nwb74uHW/OGidaDV/digOF9OaTwGXqaPbFLFsK2
M5x8HwSOjvtDVlQU7Tew+c1x9r1w38JsrRvqWmCcV+2wb4Rr03gOw2dZ+eu+J7o1bjA1D3MMKRuy
CzaWBprd4yTd5zrBttYNs9fFPV96vC69YODzoMvdgPIYC9PsMs3BaJSfYxfmGvqiWDqsfVFasLXg
OpzlOYMd0q63cmti4BoAuGObqyz2NCinxqr211mgDbNvr/LNXg1a4jMLnCUbS6cPbRHWQNZKftp3
95vtGkXLgj6kr7JZhgSlBQZyUtiG7rz3zY6dJEaXAQVWmWZRMYF7TZqv4AN2f+X8cVmD30mUtj4G
YOOgwwqSKuQuaPZXU/thkcG+M49vj1PSw+cwmrHuXayunPb1yaJdcLVr3bc2BoYa6pS0Kqtzvn70
+7y4Qv6qmn0Lv/UxoIiTIIvjsQqgePoUzTFlCfpw4bDzAzbZLxjcTY/GJlaeansex/hDOch9OAbb
WhlETUvQRBhVFrHppSr0k22ml33rvsl6i9xZKmUxZBF817reQkrDGN25KJutOsBrPAYtQmUUQOyX
CG7sV3Oz048Od/VzIJsutMeV8h6cQ3CSQ8wMSjywlPaFsa0Hw+g8KIslrg565JzwQF033V+Nf/ot
Bf2dfbr1YACTAHPJYtJnFwgd/M62qxFsompp0qIFf/WqVc6+zK2WZ6qpF2ZTWQ78FbPBo+ERxsl6
fBFRG141GOjQX9VNxwC1QHOe3xfLEKP7vrJ6GD/YgYAF67uha772ZekN6PAY6JsCvpQzHBogMTvI
APbCaWgJoH80kuI6I9FSsnPe19algQ8b1k8eRiK6U0BrHQGBX3BNK6tpPRWDKDU6T2SdT6CNLetB
m5Z2X5YIcPbjxEKv/qYDPgwZbAOEycYF3/egppWDlWh4DIMeAv+G0EXFfFXAAEnchnF3ARqHlbyQ
WEDJgBbbWVWga2cQj0DSZVtp2MGMrOBHYPAM3t+yNCwtwKLukc8K4dJ4rEC3aSFXDG5sB17kGXTw
iUFG1xQ25bQx53X12vuxAyvwwHxj0KXO4cz4IgOI7PZlIVsrjHZhc9jMtM/AP4YKu/USUlCxb2tt
vTAoyx0SSakyqA7fc9a85FG17763RhgGFvYA1nHfaDRnYDFd5zzYBciyrfkFNxjpEwBByogQSwJq
HRRcMtgHbLLteKzRLyjkcYHKClJDp9UMv8L/Yl/S95s57780MWoDlVwX+X2GbpC6x2RrtADo1O47
/egmUJZh5c8dCXVWjA27haCgxsjUefq8K8ZvzS/GtjDGKNNnTVzMb2M8rMex7eJp56tIfo7DaJKA
5rWKPhN09hJO6ltwDPdNzQaV5eeL+9jCHNSbHixflbeH3rd1tgw+eJH71maT1QRdFawexRsZFi1f
jhB7zGsSebzZ5zrAthYYEzQmuVdOfQZd9K9WsWsoRfaNwmVbAww129EM0IxnpS8wgGuCCEemVNTk
112LQzZJjeHDSg0IqpkcBHhaYBCBXQe0g+yzawNd4uena1UnA7D3kCD4AQgQkQVHpar2GdYysslt
VGTzei1whMPcHj44YBZD4GX9bN/ibPas9R24hVXXZ7CwktchNRxywmEM9zkpMbJJb3TdFZgA1SMM
w1X7uuyo/wU1rdsHBZPNpoWV77C2GvkqoKzlnLN8zmBNHR32rc1m1xIqZ1FdTqe6agtQTAbQkKd2
n4EqI9s9OwbLvKBOziDjpe+QhK3vazuDAbvr5v+XJwYB+a6s4cfAw8h450Z0QernFqzQP7/+H3SV
2XZilvNJnocy7rJVgtv7qprK9ClY6kQdrO6910K3954nZH1AFtdA+SBQjJ5KsCj7fU9/a5sBOQBY
QzXyT7BnIODy2roADRnMzH2OpWw7WQtUKJCrh0tkysEMuWmrAgO73eAmf+dD2uzt1Z9HBi5Tl1Ea
VE2yWOh5krqByfm+U+03b81/OfBDvbZjR/ABbiYQIa3zR4w9/f7nb8AlRPxO+r/lLcipdZOY1y4D
ZQ6kwoL+ClXT3hvf7OxiWAOtm6iFVJidJGmuCdH7IIBgs61bz/MLG0+YEcyMThsPjDJM4H3etyib
XT2VciwgYe4yOEaBl1RC0tzyaudRuSUawDCh7zo80awaIT1qa0u/jx6Om133vp2wpWvW9awL2gy5
1n1k1hvI8fd1MfzNGQwt9cAwkqHLwMcrrwM5xklRwQdo341vD+AmrGLT0DajTQyLHDCoh+sSnLt9
zuJsO2mLiaWnYee3WcS7Oh2gLIfPhtu3RbeztkbVFUUuqi4TrLS3Gp4eaTTV5unPl+YSSX5nk265
BsI2zoCPAnhhZQNSfl8X4ij9oO+P0BH23a4ci26HHpGlyHM1jRCvjtE3FOp3bVR+/PNv8PthhopN
hsKMj9Yg5lhjtDrkTsmgZ/MOnuC+ThIVmwSlQq7cgZctM6HiHOiOjs9tyOddW4qKTRjrST0v64ib
z0E6OvKAKOjZl33hgG4HH4GpGjmuAXYEdgoctElo/qZ119VmX6W7pY3ELszjkBZ95s8U9Ew8h/oS
MX3R70uxtsSR1qv0YAS00Rge/jJP/nMR5LuWnvmbSNxDjBf7I+4doCk/VCM6NLAx+CvKyx+9lZve
aYcYA7HCUh4hQMmfjfPUSwf5+mnfOx//XFHIqgtmn2h5OVrjJ9VSnk0XX5t9V98EY+gOoQ9sL688
rEiTfoifIIOsdoUzKjaxeHZT52ZXSRA/3KDSqVHD51WK3vzX9f/P9+U/ivf+8b9il/7Hf+LP33sF
6U5RTps//uO1b/Hvf15+57//zs+/8Y/svb//2r7r7V/66Xdw3X9+7uHr9PWnPxzBsp/c0/w+uud3
Pcvpt+vjDi9/8//3h397/+0qr069//2Xrz/aqjtAwjBW36df/vmj84+//wKvMIieLwDbf0+VvXzI
P//G5Vv8/ZfDuyyr3/+l9696+vsvUfTvsJTlAQ9jpKeX//7yN/v+20/Cf4edCsVwv0AQTKK5kIk6
TD4t//4Lif8doiIKw5tAQI0E9c8vf9P9/M8fMZ/gt/yQBgGuSH75fyvw0zP6n2f2t25uH/uqm/Tf
f/ntHPifYwhfLiYREQypNDzTIWvebMqq47CaEhA5VyN0qbCgGabX2RT2U2km8wDbr9fZG73njk4g
uMO+Qt3Argb+JHCba0Awr+XnthnNV3Ckq3PeCAwElyGHQ4OYEwiEplMFvsTTEvrLMy5fgspt1WMB
yeY7FAXf7KzhXrYKDKGroWMLe9Y/KmHz14HA7QDKjv/L3pns2I1kW/ZX6gcYMBppbKYkb+utvJcm
hMslZ98Ze359rRuRhRepzPeEBGpSQA0iEAE11y8bs2Pn7L12/2o1dvXeePR3DSyiQR8Xxf3aqIei
Kacrzjk05CxnfrFyR+xEvsVBguU68sGnPDaN/4ZZzg7NGb5aXXTLzjGM+SBqqGCLlFnU9y0S7LV7
FJWVXrB7DQzUwX9oF6OIxnHoHu2KTnCfoKxPZiLIPT2oI0ya7oB7eX5FKgtAR8blJ17Y+nqykvS7
51QdZqN++D7WXv+Uj7Ji+BTDOrEdqPz2ZLlZlFeLYeI2j81vRY6hlYzzEbOE51/P5kJ/nM53g6a/
A7HDIDsj0MlXdhYAwhNfG9P1AxG3MzgoiPFNoCd1owbmx8HqFt6LZ5T9VdqZFaphb2snAhKa8R84
yv/bL/tN9gHyrfkcfn3b/2mB+H9oSbAc86Kx/O/Xg1de7f8V/KyT9/Lvq8I//txfS4Iv/hDYhoVN
IItJ9M2lFf7XkuCpPzzpWw56dRPMPyL7/1oS3D+IeXSFL1zlS9e9NHP/z5Jg/qFs1irPxcoHxo6h
0n+wJFz2g7+vCI7vURY5PiuLSWDMrzIh1zaSrvQcj0H4WOw7kfvBlDhZpLICb1u9/qaS+fNU+svn
Ab3FD+xyRXiMf1mBcrnEZOv57sEs+oQee5H/BAGHN86s291CsRxV8dZ3wcjvIpZ+nTw/yFM1vmw6
LsN5ktZzgQRx+s1e/Oep89efS3rC43QhpQ8c8J+3fL/vMSiie0GNX34ban4OE6AKEiF1lIN99v2t
OTSlpfcx3sUoJbZZj/9Z6pOLAoynw1RSCEkaA/GH//wzFBc3/5KP3qHNlu4Qw9o5e2bWPP3tCf3H
pvD3TeDf3HGbLq9ix/Fd/18qBGz+U55uuXewGnVUxfzq2W52nLOyZT/o599cWJ7TX58vRd/V4o4r
afMg/fN3utDIxJJ7PjNz19kv3lIGObra33wKL+Wvn+LzRuB0dQTP8K/NPBkXIAJU7B5Uin67Ky5i
53J8mKrsN82Wf3Px2KIdFl2+j+f8qjlSxsYVvTy+MSyyoDLyzznbcG5a9b2VF79Ri//bD3MsCgN2
awC9v7wroDubxkXkgRzAFmFJeRGkQCUigH1luOTOb+ZGf3b6f3kHfIk317JZEVinfrlXGU5Kzo+J
e4AXA4l1atig3Fg8lERenpoKuWYLeWifQiE8bg0EFFNU8Xd4dYQi1EuH08pDtFdXU0RYHQ49oahA
HcsrIwVH5X6QIKoiL6397jTmdRZaVcX8iETqdAqauZtDhrpmNKqc7RMP4hddVfo35/B/9577FFrS
R+Dj/evzOGPGmWEJuYcEDscJQIJ3WiclsOOqZzrB+zaP+1Otk08XIfzOloV8mhPb+82l/nfPK1Zh
qJami9H8VyWJzrFJqbj0D2U52ieYC7e1cLCPi9T5TWvzXz/JvySBWRLLteJa/3JP0zbtZz8HcOPG
5KksowdTtam+9elvg+GpIf/1gfWFJJpUkpljuX/9+t/anV1lWoYre/dgQwPdFZORHTUr/r3E4vbg
GDwIkoIzKZZql48YJSOOiB3YzLqdgwJe5tHvAXCtrks92Y/KeRyzSb2rqfOOswNcMgSEvD76/WBf
D8PUXBVplRG7nq5V0JpjvuxLD7pIh3E9FJU7noS/Qv6FC7n3db0ejK7vIq07ubMU7EV+oyjNQCWN
ig/zIDtkE2Z8M8JJvKuVCYC/T3tnl0yLjCbXQ/orqvx97fLqRId43okSS/HqKyPgsOueim5w3zJr
s+9myRffersPgZuU4JQ1NDL69Tdmvl6KVQu4TludLorrsK+YXDfL2D7ZUrdvcqzbd8Jl6c+lXS0h
RWL7Q1FDFEY9rfvar8tjJob80RBtd+eJyoMYBnsjKjSNDjrYVveGcTK+0ZhdYYuA+Jiqzvtw5ku5
Gwvra2HkrzWWN+CwRuNcQVy6s3xt3bpVGjESPQKQq471ZFotK0AiH0zTA/NrpY53JWyrv9vg1ATJ
0DmHvtMFqKahJR/Shy9VdtTYWzOW56mBfBmwSq3X/gidICA4pRqjUcajG+LSJJ2tm6eflExck9mq
r1OmBkTxjOZtB2uTS2bJER8qsBazr6cXhrfErVWq7R3SuYT/Qtm2DlAm/eHZKyv7NI5iwk/ZGaF2
lH3dTU61azoR90GWXNxa3cbWHxSJWcF8LcFrRcXkZUeZ+Hpfe9xv2U9cvsno1XvsFHOUcG9ZhCYz
28ExU18xxaxXuIXsr1aKbTPwRJHeTUkHOoHWJ5/jjQKYLovHwspJ4rgTFNXsv8y9GsoX0GQ17CiR
f+Al5ju4seKJxwXdPyK3LxAgpnO7SylxAJ3osDRt93PDPp8H8KVr+LGDFecHT7Y5EpNiXK9lUXXn
zRkI2s6AXfIKJSKAGe4c5EaBE7AeVN8dSzHIIDmNyHlbdyftV25gJTCBpliAp9kgAwF+SHy4vMam
Q8ClRDbWMSzjJTkqq5nSYKlNft501lYTpN7gZGElndQPDCPbriVUjHEyafb6Sl8lQ109WvU8hEW2
7kFUpk9S+Auz2HbY9/xsRzyPEDq6wT96SlTc36UCK7fwfFww5mBRyxHgZpOYL5PluVfW2v1sEP7s
spHEPZ123Tc/5gxNgWp1JwzOOkAbJMNCTrBDzU3NiOixGRL3x9UXXnHjjbAhU2zqp7Sm5Z3bKgGr
llXvNKby27w256Nn6fgH+CMVB/B55y9TLtqo5BajhbHEMc8IQZ3XKT1gxkTtl6f6Y1LV8EX6/Xr0
4QIcdD96O46w5h5okhFU0t8vEwUiFBX854B6dovLiUyPmDyn9kxgjnfVYy0eQPjNHBT6xAvjPH5O
1sm+6rSZ3BkFonetB/89o/33LDc17MoksVSgYz1Slev4KAGyHdNqgD+lMl4Fz0gAKYDbclqK40qq
9CpppzfP0/3Za0RBlNa6BvM4jkckSvXNUCoPtiGTl6gBnY6HWOclmoUyD+0xb6IFK1lgqe22ty4u
n9zdHhnF9TftVmTfl4wVVxgX4EJsZoeuK5Z7wvnmUw5OAGKUYFJbbP6z09nbDi6BEdU4vm8SP38b
AXMdmr5aQkSUfZg493FZPQhRlCeSeZzTPFpFEBfwBrdpOoBgNfY0/+ef9QxoLChgj2y8a4b5tvid
dWOX/Q3hA33ktXkSLozTQRGt5nU5WHYSOF5a7jU4mUiVzbxvAGoHvTlwoDCdFn6lnh7iHnrIXtsu
JPOBgD6CET4Xpw+q2VVPFEnbYezSLlANr7JjioNpOmo3zw18z3r40mb62srrNXBNow03VnBE0PU7
3X3w5nxzS0MWTmhHdDZkst7toxSHE3AG8JfWOFswmcf4oaYbuMOQsF7lnn0DUryOfM8gzs9ylv08
j9232Idf5K5mg8ptu3dURxbKXDtzAEndeauh7uHvTNa925EIAqwDDHZ4QZhQVsFEfaYuW77IOrOO
pWPFB53NZWiy2NxmFcgxszP8R0Tc6qv24bpFBTA0roZTOQvLeZcvgXkJX4jcronFDspPASar4Yrg
M9zc+1KRjMVutenXKdX9d0iPIEc619fjKcnXhSikmubE0G+fq8xq5k6AM2d3fK9AS5z467Zg8JZ+
n9ua3o3yu6hfywfW/ggsgYmbD4E/5M44pEtWfJXC6s4A5pLAHLcN0soM3LRM0n2WFSv4HTiXxayv
9BYvd25pv0wSSEHiG88WsuDQYpO/dwxYcf0WQ3HG3Fe7Ac4KntziAmNx7e5ROuIRMnp3bHBhBz40
sSPdsPx8sdAfq24cTyPIq0tSAfJ3R/FQTJ2Uh6QpHXI1TGMX6x6gcCvLaxi+8n5syyyqRVp/bTzi
SDpb7WJjza9qzWqxQKL5ZEPKdnk9l8cNrM0zBF8TjPei5p+63BQcAlFXUa77LaDTJqgZ1bo3DK85
emVTnSBQfDZSNudljs1HEPDdHljXfaYR+wMgUWHjWwv9OdOYXiDnJZ9qK/QOsux613mrOAHHifdG
7euHTZXJnjCmH9rvxluzNpJ9mfn1GeEm0/EiH4vjMonlAIxmDce4y3dDJb508GPC3krBfHjTst/i
S+8qsZP6nCueBG+RAtUnqIxF5tu+WbLiyl4zvwwI4svmcCmGOQQz2HzIRZZXcS2LYV8PXBEfm+Eh
roFkwxz1gjZ1rgp7fFv10twszXK7lE3/Q1XteA2opyVPsVxCzoa3zNX6nR/3/bvVO+pQiW46VWo9
FI3xUscrRJVxa5NdR3TmGXJnvktbUFbJ6CB075fhFpsBExc2wePSJucaRMmzDYIYIrcnI2Dr+kdX
z6g87YtTVmYN4MMxIQNRsjYXjcPslpnilwvSLITL7wReJQ3yLkTZRDQypvsl1a9QToegMcbrVE5l
WK3zrsE9HZFH2u5KYJ66WQCBTc12mPxhCktJM3Rr3Ru5AcWXyJu+UNgrHSR5HBGPBFC6puccVAv8
vdzI9q1bg0kUH7WTHcfZHE7luGrwnL08Wo1LUIM5sQtbC2ScTG2HEr8f9op93yiXuLJ1JSCiNbyz
3yx5JMntPFrlE+DqKurGwow4QkV1h+KKUr7YwV5Jdk6ax4eUWdLB4vMBcquPgXS7NwTGcEMQyIp5
dXZbvh2HtnuGrekF/bSeB2N88XJJUtq0AeTQX/3BYI9OjQ8va16kVdzUmfOYTOxQWWXelYv7Myl+
6tmbDmRZj3AxE4CoI1jVrj23yr3OlHlj0FANSaLor0ttgFL2zWub1OFDPFveRwMYZp9AuGeXCjEh
TAfiEarXzfpBK67ce7IDUD7nVVh2bRmM2NC5gX32NBLlzCpWP+vNe3G6nH+696KNvwFlvU7N8ivS
seGqr2wdjqXO8Tinz2Cuj6qqnmYv/1rL7tQOdhmqvr5FYsrPLsmzddpp3o2Yt4MhB52P1BrBjqJ/
QZzHqa7nbj875QOtbnUq8/Q7bYeTAwHL8DoFxNUMhm6aoi5P46NjSsJXoQnera3b/xzK0qdppk5F
bFRnP1NEX8Tzdqjm+HthuRzMOe4/DZ2dshrHwOKAEzof6Wa2+6pHCR1Xaq99UZ7XohShhNZ8KaWc
bmdbqxumpTdGwGDyyDN9Hfh1fSNtvQCmWahV2tjncD/bBwMp6qGfM/rryqCG4QtDIEdpI8G9eLZd
R1vD/ebc2gSz4T6S5HJnW3MWOlJ/A+e37wfq/Nqh+qwKiYI+Zs0HmBB2ls+IwbqBRPMKYf22cuC1
1Av3PTFwJOZuqU9purVs+vWzIOUjBIsTyCVv33JzaiITZFKQNd9dw351SjGEm2bPXtuem6ahdklr
vF/B9r0sNEPBCqvyqOfEPNqbbHZtnK4BrKH8PZvG4ZDaQKhHGiJnF3YVbfnOgKE2U9u6+huTxOlg
Ow7fVORzUOXTnTI7ULGV1eCELcdPoiusu6xZqO4cq9yTcNDsDX8ZIvDTNzVnln3O+eeMBJ3i6EKm
g1+tBw4YiP+7txRUzIEJ+nigxfLYjUmzj1sAlVNy61Ee3sHLGXcLa8fO9mMASr6Eb5kvnJuxEXa3
mxR1oLEM7HEpdVT/+tUiom+HtUXsZabFLokHPwQ7vjxJo+boUrfUknoW+6Rxm4+FL3V2tVtGzsIt
lebYHmVqjAf2W3Hbdqk4JU1Rn6vuWK9bvnPqRt7gJSh3ST/mIEg8+wW0qfPiLepnvJgyQi01HdLS
Eq8lIvJjbebGY9tO+jtG/+R+gLxzA0OyDXPLMg7tkE6HpVpSvAR+f6tgc+1s2jiRm8JBEB2ssmCm
modrbvbus2iK0BiTwYIalvEY9vT4QuIWKhGMKSzGHgQZAO7y69pRKiZ0vD4QDtS7rDPXMNWUQgNH
5IOfK4tedU6tlIvxSMiPgsntOOdWw1cftzXiwOTsSl7fPdCuEWVkbu3mXIH1q5LlPhMqp1os2rNL
0HpU986XlEYUKD3u+EZa3FFOygT96MqCBJTxANMnu7EXrU8khO1qf172Pi86Z6lKXzV5Nu3yTFNX
Kqu6IeyHArcuof8W5hxNRAGd2m3Sh3GRzqEqB3XF56y7MSvSw0Yw8zEuZu8ce35Mz6XpIiujmucA
9sgIzPpW1LkZOsvwY/Gt+c0skm81ZM+bbknj1zLbfnAc1w/+3IG6TzSejgyo3N5kSHhliP5ZSvXK
x/bnWvsnYnXsXZ9SDvf2uoY6puUml55gEdFpUIzCoDdU697aVdAwj35lmHQdMwdqfM3jQ2rnHg9E
nOw59NmvY6LNiEewfZ1ytum4ANvk1SPZTykJAuGaO/UXehVETBmzH2p4Au95kVqwTTNxL7vO2qXk
lq8BICd9X0j/e1dWl4SS8aLvtUgBsolymOONIAPftWgwjS70+1pf101X7Bx/KU4TXv+o7WJn1xlN
dTAM0leItQPd7ZrZeU3XjYOZboh5MpsZYcj2be5tcUy2ZH1LGw2rOM81HQ7nu7tAWE8VrhMGBMkO
wlx7V1pxE4KEyq6hKueh51v5icfvi287rQk7NumOiP7S62QCyrc1TXYlpykrgTjSUb0ql7F0A3u0
pi9rLuwfU46PB0JfsR6m2SVpykK98maCPCp29uwuaqfHNPtseMhc+EMryLM0GdanrfJdNyyFoeOd
ZywDTpdCl29Q38adsc6c9LZhexIysQ8t0K9nvRZ2xNTkMXdG1kxfFx9V3KV7skaWyCMnfidqBxFL
36rnuKivimG69SpTn0vIiiQPs3fwrpYbuOkK7Ljr4cGx3a0fYaV3KWCSsnnhg/RzVdbNW3FZO82m
uiXqoNjndQvWLvXNfWnO5GflqAy/tk1rnQdVyR0w0maNgAXGR1PFE8amdXss4ql7ygrLvhFw5nez
YeNnJ+0iWI2cLntftiX5ZT4z5MHNxqjb4o2sntVkTawE+69BfEjF0LWaQgC3BoHkTWcHdmpcwqfG
eN9BEwTq1hUw3Qo2g8AFUwZvr+vLvRHP7TuxWFJd7gmhGqw/txAYUUPAaq+CmMPkYeRSe9fs32mx
z6R+iFXP6lU8QFmuDv6ULqGifxm0pDPdzGq8txNTRXRyphDYnBNsk3FLw90lW2UO+ylm4WWOsDfU
DB0NcciBHKKozQgdAs8W+gaQO2MpFCRqvytuVIInvOj6F7fL8jRKAeNyQGidd1Io5BGAmgyBzg67
2UeeBDNmfOBIGfP+V/mhSg1nB/qBn2pI3+aV3U8qgmgMsxAHWh8/tl7ap3rBNtVs88u4psduHmac
odDnfC8W972EzWqhYgjq0SiIQ3XtYz3UZbimRXe2vOzBGYjbbqbpHNtiMYjIAM1Pxli1o6sz3rh9
Lr8vUHnjqMqripAMsvEOZEhMilZoO1zZrkax7ioDHrsW3g8nnwgKWmX7Svuj/cJEf3i4aFXfPJ/U
K64852Jad3tz0u4dtdwcOh25pOTV/MnR/TmkiT76m7ncqS1BnSD8Mv5OD5YKn355e3WxSWPUY80T
wdS7MMfGojYIPku6Ngca7A/DZ2ELc9kJM94ErPiFsWOl6pQ102r9Z/bSUQUpGRJk7Kwjx+CigWl4
Gvy1RRpQCUaqHvFnW+NWN4Mq8ufCmeIdZKbuuicvJIrFZeISZ8a3tW3DpczSXZmS3NSPc/+gcJYc
qtYUd7RFXP7qHs5a0tPRU6670ESnlvXDboG/DwmaZfqSysykZwlrXUeqJbElLkviqeCZwwjccQKK
w1a3n+Omn+th8Z9rog7ZdpM1dwNCriCvm9tbVS+vWw+GwR4KuU+nLMLzjVu9HYifW7PsnDT0hBjo
nJIyM14gkWaRn9G7pO1ehFm6Zec2XqKqSu39gEA37BKVHz0M6vseNBCNF9IpT1SwU00iQ+Vse0GW
Yxo0oBR7Wjsz6SbaI2XJ7ucxCTwjxb3DVMW4bXprbcC2VfRx6GikjxYqniuKPrLtcqfZDVnaPkJe
QsblDg6Ey7bqmVLT8HBi1G5yuMenbZOqg1T+SSRtd9RFwiFSc1ppIhCD+myQ1Elsi1iXfeH1OgBO
oQMxu84b32vbDxfyO4MK1bxY2zRYlxNLeR+LBA62uXXWj1VC+gsBBpKEhsdAhnQW22dvvSyWBXZo
fO1WbH3aToEUekY1d8iZIbC90S95VUvhvg1r6l4zkWpuSiQCDww+3ZMjLetZqCRpI0fB2Kaqtmfi
EMre/zqtXkMhY1T1SbDDCZ5tgWYFWyTASwVbB0B9Q96qYdrmT5tEjeeRV/glFnn7Wbj1xsHf76u7
uhOoMTX04S3ofLv40RlKnOKFYBvBZOQxq8hGj4rU6Nl3Gufb6trunWrz8nvpbjEdU3DAI/DsNzKu
Jk7HY1K958rfzm1l8//17NOGKA0OTOFSaXIG20Y9+g18/7CpbPO9bxN5nCEEVwFJHM59IcjwCr2u
T+4h4tLbTY39JcXlRfT+8NnUsnlhiBS/VknVfDV493dGz5UHE1EXJ4dK8rjW2fYarwRB1Ynk1Vyz
ePgqteG80wW2v5WA8cKp3ZAQWBnU6p4SHmeUS7S8bZ5bw0Z4XDX5rnLX5VNCaw0N+jaAKW076HvP
hj3d1daLoar0ZC1ivdHz7H/NTQijwu1xra5ednZoMzvMMYZ23zY6ft9osvACNGX31auH+LxRa1NU
b9BVCgpA3F5Vn+6TST2xedU/JyDm906txYFhgwF1VelkR5mXE4xsfAMFIBpYsCzI/FccTWZSHqak
yG/RcQykwDGV2FlNS3CV6wGsXhL6XQpNWEnwZtU+rj2RZ0GxQmvlSEUT0pZ9fiOHuTzZ8+qdljgd
zpndtD9yirQubEBDdzCj3XILYGCXT4DPhYiGompuWDA8MLmADO8JLdSYUJxykeEkO07RTaXQcNVZ
WVBnO678MHM9f6FhPd+D6uweibdqfqpuLG9qURfnbYydT99W3k08tO11YruGEUpzsj7VODQ/C1lg
CzGmZvxaIz15y7XuXbKhXO1EXtaNdQie344DfEQOWQKOH6UMSJ961ZElDYhjywKoVuIBL7j9krhV
9aNO9Ivp0xWteyoSKLdbjvM6MRc67l1xv8EJfa96UG6hpnc6Uk+R0+XSet+O/UBbT/lTXxHruXCR
x3aiwDCcdhPnPO3sKkoHE/O2XuLsFrijaiLF1JU1gjzNPZq14QrstXajgn7FfgZXz9m6nohVkB6b
DcQzBtGtZ4ibqbOJ9uORkLdidGnYucOwhviZkvdRt3ERJbp/Q4jf5lHldulpqnTzkHKjiM0j6OKZ
+Bm97kj8cn9QGtlTgNB4/cgT4OlhWbZufrxEK1FIQfglZXOe8/4Qm+yZwUAqlRO6fu18GxvfSYOW
kv8qia35GeQqO5vvzIdkM+jaG7XpnxN3/a41lHAmx/MScLTmPaFG4hswTDDJJGo6tlz62AtzHPdr
QlrpD4JmYlqWgwph2SMVMc1rIiFAGGrP1g60JMdOI5cOtgQ2qhl4WPzCkzlM0xi0Kyi9HYTrikmH
6TbDzk4zWme9mX/EkFZPrp0pGZbJIMzIFSLbVWXcfejVXdl1bZPtn9HNekXiWBkKYi/eto6pA0MM
Dm+VjqviqMvC+pGXg7hatY2VYt5W87BOFWalYnJCCOzr3gEtwDDPq09zMjIocxmm3TskmpFNCldO
I6DsPzb4mJR4EPheczetohl+f9Ck7ac1mf6VMmz/nKO2up83iww2vnZ/XnWvb9aVNEVmtZzxV5jo
jjACg2nfgbNNk0acmttPIn+sFPN1nt2nnrormfseZNIRbFlVVhZKsqGOeWWm0565fbqve/tdNeDz
DCe3PwyH1g5JS9erNJsfo7LyZ8tNS3Hc5san+Wt3bz67+bWRNOZt2TbGQ2LI3wkxLvKHf5a8+MJG
BcXGLVHE2hf5xN8UC0QTuS15dN7lTM/wlBMz2R1NelcObca+Tal6R+xV/oy7n630fxZi/Unc+JcP
9xymoKhyEd78ou/ZJEgEoP2EDznJcOc7rT5OumeKIBjbW/Miwpgz2SX7LJ9+zBtbih5Hop+nwoTz
3X8ULWF7nlfR7GwFuYc1AyZQ79Z+poxn3izN+5pQWNoylUPaEzvqdtSO3ZxnO99uhj677eXEqII4
sL2FUqsMR2JqWVeogNnrS4PGdiEP1VLAfkcdBCiYtWzUI3lPs3paLsAoNa/mfZc5HznmpdBwp+HY
GSz4eVO7DTkNF6kUKWO/uXR/+lZ/uXSQi3xAspakO/grzK/iUeLy2VTraCg5N4h7217WJhzz9VSb
SJZIST6uls/c3UQPf5X147r3yx1VwEVjMMsozhLfDat0ImV4rJwdCYnTCcZeGjaLcUWgEufdsqAA
tvL8SDDo73LYf4F1XtR+/kUoTsQO/0afc1HO/e3Ry9hL2snX/kHoNueI409bSS7Tkl5txvBgQrmI
JjbnEIcwli0hxp9MvMaThvBxnGm4KbMueMVmQdsD3cZvns1/fS8QZzoez6VLVvKvNgJwgKR/OJV/
KEwaVYwioWqIuNa/+Zg/bbC/3kcf8+3lFWBp/9Xi2TIwtvuYGEPGnytZ35LYunnWYwQ9wvkuOcCz
Rhbguc24jgg7cx4yilDw4HNXXKHZ8e/K1SuQzfCytKqu7gZrFGtQxJuxszPx1A5F//I/X5o/TZt/
/5lZr4WplEA6aXv0fn6RaRKoudGQ4NmbesmisMlaha6gOZjHRUvmSmq/+MUd2SPNV/K6TAJ2pQjT
qUzPq706EWKG9YfK/eUv0N//F2n/xreB9fli+f/vRdo37+m7fu/TQb//XaT9jz/3l0jbE38gXeNQ
RwSsh2DOw52B9uLi6JB/MMTl/TLRe/5pz/gvkbb8Q0j8Gp5nMXzmjeYP9X/5Nkz1h8Mzgh7VkixQ
jFL+E5G2Kf7U/v79oeNRs23XZL3DWIL+5yK9+9tqAaHUW0hRXHbr0NKzdS5piMvUM1zbUvszKbAC
h0PFThctLCQas8DUsfYlwrzyDdfIdp6bo4Cqe9W8VZg6/NtpFJffUffyw+rQNkTZZp3cxSY9hQiC
xSQqJNEpfJW8bL8ocpZfDVtlyaNY7bn50sm67Ml2ywbCkO0aqYGunZg0i3LWmjCa1kc+zpmwCJyJ
dGTCQSWJWb6sKM9XK2Y5bVSd3NdDYn6Cy7EJN0S0GXbF6J+6ojMeJEc/ZrnFNlUR8ek2LanM7Iq7
mZSDa0GzdgpUiUTcrPV8Jl4Oe5ZWzRTfxgCjiD7yyHsifle+kUxC5TQbgiF458oLeD8mI2QhE5QQ
00Xb+TU2DbPnaN2nVSiLJdFRM/U2VtMkT59sj+TRPXKcVESr1O6GCj3P8jsSHpmOZItE5tJb14aw
1mS/kYBRHg14z8WZJDAGk84lzzVw8Oa0wQoIpw+QQ9tf5GAWa8hgdCTuSaXRkHMoIjNFIlvom2tT
eymhlEn7tTeND0VCRB4gLbsI1/xK0X6ee+bHo+MFvl1mr/xtkLinRN/HDBKQVZQt6QgbEeHIL0Ri
PxSrsyU3dRLPceigOfWDxegtlK7rZiAyaZwGAZ8j1HZjEwxmUFGbrUNlutnGkcCI/FV7G4OIkdnb
dBPrZfVDlWW9jDy46/f1sphzSIZTX18TQ9YUdA9LDoTN1JpHNRDRHPZrRrClsAs8Reg/0RMgbRqn
nULYc5SLNwwRUWYM15JN8t8DrYuVnleaxXsm9hNRHWvTrzvCQKW5S93WkYFNAslTD5GqPOaLZX9v
ieF4rgh9Ch2aKD+aPjaXM08d2ZfolFdyA/UwLOybSFdSLZCnlP2A74jVHPGb4dEJMIihOue5sL63
vokAIDVHr9qlS9IzZGV0toYrlsYzIVLtFGStLq6xmaVfdObeu3XhcOSBKREOcWecktFMyaCdXUE/
u2pfPQYpD8aY9t82f3WufFUcp0aSSkLIrCcfY01KIxLIbIBeqxPXQQxcNF04inZ9zP43e2e2G7mx
petXOS9Ag4wgg+RtMkel5rFKN4QslTjPY8TTny9rGw1vA90bfd93Bmw5pUxmxFr/WEvzhTzK3CBV
7pcIPU7q3PVT4qP+bAr6LkRt2vlo7AQCKA/78bi6DekzDI7Vz9Ey3V2Y+zbi17ClXCaGDG8iC13y
c6fTS3snAyI2JiuQdDoXtXftjrgpSe1HKE3zkpU454nSDICEpHJverS2hPmnjWZdyKvsnQ5tse7o
L+FpdxKLvp+WNpxt06U0RwV2/GqZMj4Yfy6iam3qL3pukPxRvbZPYnd9A8SuItjUAFMIHVc/dZnw
vWmR+d4hze0j162ac22X8zMQZp5uSo1VIStpu8qQId/3oQc670KPHKe5uaz9DgWzRIOJ6tjhe39x
qmI4U6GXvHuFSMOdGccyfijWzKfjSaZzfKA/bdlPAj/X2lqQszlKD5xUtgMcyHX/nOH1O62og9jk
oR0orVKLZKn3VfnVeml/JXt8ARGDrnmdnKT+7OZmDimrlmtyQBwJUlEVfhL55TLvXPx2t2nXWNCC
AkfbjHJoeWqXLEY0Rk2gu03LmmQE5JodBWwibq9m1ZbTYdV0SyADsVm4ISxUESFiyu3Is7sBEkz7
d/Usmij0QXedhCiQlyAfLHu7kI1DO3MR2lsqtTDjMuCo4LOytKQpycgDhUw8nukblSb2n+NUUmct
AKLcrOj34ZR223QIFFIolrptA3Fq08CYdUflDh7fUQwRHPtFMl519LTUz4iZJUoutzW72e3ix0pb
9nOiUWlulFj8eYe2Olt2pZvnD0zZPpE9tkBqGtDTZJ0Z6/MPMOtmPibkWRU3roxNFCQcOSBBstq1
KLoAzthC7uOsSJ6dgGNuOyerM3JeZFijkYzyJFL1TsMNBaDLS6hNZzivnAxuiXc+25nWVQ/lSuVR
VOq66qIM3TVYp575RdBOUoFI6h0XgPGpSEtb+r6i1GKCOGWBcOldhJbcgcyRq+IQuAeLlcHrxa6x
TlPtJKd1bdosousuHI6Iwft4jxgmPFLQlX2xo3dv9dQ3D9Y8ZvS3d5n5LFwK1DYNHhqP+2EKmi0v
MVbRPOU02NVuURwHr7woqelF1JRxG+FuEHfyJtToIugRqvL7oTCaAaGX8oN4Li66oK7bZ90Ew01j
twtlmch1BmrTOFpDGH6sXn5S3a6qyR5lkM6vi27Cq0InIQS5ZZnHvLKDZUO29jDfFKHRz7Oxg367
5AXXEe20XXtc1RT8At3Rx0omzi0yEYr/GmtpSlidYukAYqlg3AYgghsngzW+c3W+6iMi0za814EC
q7Uo8ruxZB/+VJ72HtgJzp3MsxXAqXqcqjCjwd2M6TauEZtKDrltnMwW2lzY+mBa/8zbkq6kljNT
2EMh372+CsooAUN9G7NJfg8t7RSpuzYfhWWojmy6uTjZ6wKpcLkA0BDlT9rNWaOXiYYvjVc9QvSf
PVpd7V85nW+LwywRP5ATC/JR5v0GSCXJoi7G5DqZBMjK7VI63TqPXcmPqUKDKATHT4R6dEurKt5T
Z0wgcgsooyY1x7WyQXraENYjbRfpRJc68EOeNDTKBY4YyWpMlrOV4j0hP3YZd7WfaX/n5Jl/O3cW
IuTSTb7oG01/poN+BmsHzBV54mY4Wfpmn62ti6pcAa4r30ce1nMWoU2RRswnpKvqz85KW/SsWAFo
9c7zk+Nq7yD6OHhwKd2gbytznpGLtu+ekw7NLUHO8zf7Yr0wGxSiulNj2pfbNF8stfeEYRXVQUsl
lYM49ti4xfpngrz+a3EpgnqlKrTODqoB6Omwi/UPSyx8fyfAdsMrF9pqvM5Ch7cxIaZIb1xW4y+Z
lDOB1C6FoCdsFK7idi4E5W7wveFVXcv5qbOpC9xmhVU9LeHQyFOzqso80kX9OA80fF15fTfrjQTR
eNC+rO1ImvTGoQrnmHmEzyJo6keU5VxZI3k6beS76dpEAhktlodAjfeZ6dNTFSTBVY2s7RiHi7wD
kE9R8owLBNAKQk/BK8CCTf4p+mSFetKV64uHKndHFpnYImgXTNFN8GpZyA83VNUG4ynAOV1/oAIM
2wMHbfiss9z9mii8R3ji9vUdDcTd68QWjNJFL86VBDe/HkTjlyjTEucNf5PzqpjVbofRSw5hOSfu
tql6VR28SrkUMIlVblZovi6SRet+ckGWW66sAA1MYMm3MR4+RN/FabTOJQg7GH5Lt2PXvTmZ11ob
B/yZNvt4YuCwMl2/dsmUPNOPGBCigbR6YzMvPqH8WD3EmWEnfpjF7aKwo5n0cySNlAYBl9M4RqLO
TP7hrEZFwIBPeSGckyUkJ/+IZCW86ghHVkfbOLO5Lpyy0HvI/Sm/zZpZii0iez/fWEgZMGzgADF7
/gknAyTZnEZIZYNkDwrf7ge/k+t5AtJ9HrqBpTwTiXhC5+NkW+FyladUsz32ekgeefbN0cwGAr8I
uOYpDpmm+4ySyoiCvfZsl4PcC4upICvdX8i3xEDNZE8XaY9b5ATBqdM3SLwUXkkgB9tU0JxMDNKm
zV12sPDLuiUQq92s05TtOpWuV+gLmp1EZhXNA+3l05JRTTmYIkZM58OLyNTzbrs1HB8XKzZYY0WG
lccLUAGufYFeg2KJY2aFloLed7NsZ6tUFpE7W9bPdFSTdZVbbR3inK38l0XOyt7WuevICPar+bTL
wCcsk4v2lpZJljOchQW8LxGaT5le43LfZMjzzeKZnxSjLu+C30Jt8yW1QTB4vyFbZDscXNmv77gd
Rpt1rHDvslTazwy4nLDEpTOsT316Fctm/YXsA4Ra++Wph8zOjnPYuDcsDUF81eWt+DNHmEFwLOvM
liHDoCkkRqCPTLGu76vQcbsRFJoJPsUY9JxCpwhLDooav0ChtuPLTOP0gm/kT76+6nqg+ZqEFMfm
dp/dOjnGaVq22xkHwGJ3oJ800lZ3wmYY2sWIuBw6QNNY7dmIbZoGMytnq2K9URFLriEMqBDv3sgF
FqFqYH+lqBxHgSZDDUYBD4N+6ePBcY/WSFTiPhvq9Gvueu80p5PzExlusCVOvD8WLce8EbLP4OsV
Zw1RBbsescq2oow5B5llTY80UCosDEKpd9fq4rsEN+JBOX362mdBGWwTGoqLfZyX6sH0YzNcdQ0i
++2Aoi/e0GSgdkG1hvlmWhIyS2cBUB5RkbveBS2FQFEyZuFXFiLpkkPyQoF1j8Mqh+ZpakpFq9b4
e2IK4PwwzVzpwVmQZnb1qV2z9t6fO3vb9kr1O+7mstzpbBoe+5iMZ9lPvt5mdTZ85mOqxn0owrE/
+ig0Liv7+IWdc75b+7xx+Ntsv4BrTxIu6VXbH+642NuSz+GbLmzzOKdc8Eyj6tqdUvWAoos24jRe
bhpysBI/9Eb6cskpodR8Jv1JfQ4TAw/lNghbRL2cl5QtSXT2YchLJt5ZyTdj0i8et5X3OPM2k8q+
yjmrTkMsq22ZITitcibk1VG3bmW1V5U38AvNTXtPyycX6Ngn78wUUPscfurJLT5s4Xm7jOeIQb+W
20x79c5xG+9U1Hb7RP6SfeiDmRKpMN02SAcOTlb7X1NpOcfY7t2TbIujqQN4eDXBlbdrW+/zqpdP
veNgLsOi9mcI1XNG7rX8Zti2boyQZx+O2l6P5UVavuOQXD7NpDAU1Xie0fh4wdVYdAxdHWRqSVK+
1X14hQr0zij6O/Uk+yMdd86uUNI/5Hm7HFtIah6TtrhfAqlvccyhJIeP1dfLOjMVBstofmnCyBEP
MEFGnlsFz9pTCqoGnYoaapeduAyipS3srWCS/1Vaa3/ox+73ZfKjo5zUQYTiTTeD4hAdaRzMo1Z6
GC2rJkyOxCUdiB0oDvWY4i+RLeBHodrxhXGXfOlSD9Bkv3cOJPjbbvCK70Cm4Qk1nXlESmR+4ndR
j3WjYbftlFSkDt/PsKmpQ4xg60jAztOD11BDK5Cpp6Wj7iZCw/iD1gBu16Pg8yCsyt3LqYlRbo3e
9Vyyn04+tNPS22ff0ShVbM/3HsvQhdSo+vWhtF2AIzulHqOoix8dKtUfmEIxjE19f7vIxdm5tRb7
1rvAZ3jpW6h9MkO1d0/yttpRfIxWxRabTurpKFcfjS5Z0m7nu2ftCYdBKjRb4cluV4vRY0ees+t+
SKzdzGW8VyEsj0/G7DUHFbYF2qffaqtr0W73XUcJg8g2wkmedUnO8CGz5/VZKaw1y9CMPB/h5N0F
iR8oXANK3yyltew4cfWmkTW64zHBUkgdsTivTt6OO9C0k8Zb9dPKA/vZU92IXaUzw4uZKbQWSSHf
ujW3Dz6qVT5VbDKt4vNHmDju/KHMk6tuXRhDlhQVqud5zDmm8P9c6/JDWfwha+OAF4ym+kWjfXzg
fGgeOxxxjEOxdVvKLti58fI25lysE/kmeDJTInw9SmSjvCRhpin929aj3Hozsg6MmzBlvdnEi5ed
7aKvT77dB7+wTt5bKFyjYbWQNfuxvleg8LvVgst2SGPcXICTfLVImVzz8aRWAzalG6Nelai8n15h
RTZdWmyYU3b2u7E9oI0s0T4y2N7Gq6f/RN9FKEWx2t8QFxb7QOjdTzB4ufLMeNtaulhu0rlNmamt
9IjtCReoI4adJYf1yOitv9Mgr+6LwRPHbp67XW9XZCLZBVKxCUv6HJB+ubnQQExSxksE47BPDHuR
ZwbFCkvLAz22lC17tcOl9y+q7f9ohf9AK8ArXuqB/nta4fmjysr/d/vxNf2dVfjrx/6LVZAe3DIp
Lx4Swb9Fv/jqD+FAOCj1O/hF+rzUX2lQjvzDJUICkgmCySeoA37pL1Yh+AMPiuCnoAJ8JmNb/W9Y
hUtG2t8pBciAS2QGQSO8moAN/ndKoWfsntTKxZ4l7b0TA6gXVveOUjGJeuYsayyu3GE1x+mixvvb
O3X/rxf5twyS35Hbf3/xC8miiLbhPQG14g/99xcnEAnngM8XySktc4xHlUTWSDZSjwVrM04+vEaZ
i+tswHo7wW5fj42DnUljNULfgMIzHZHrbWiyXm9nLwBVN6uHp86sm97L5FXXhxe13xDeyGwIIN30
3BxjQHDNZQwE2rf+wxzaXnHTVgGbvFLPMr2IURLB/9A36OvMujh3buMwUExquCHHCutEVowwF9QW
XHZj5N0sCrc+uM+zAwqHK6SS5qHXibgWwWA9+wbniQqa8G6RtPv45PzcJIVNgKhl6Zc869xd5+N3
d/LVYH9W00Fo2zuHuKEPl9nlZFwgzmjt8VtvhJ9aBYUmnbjGs6doo7ayaTlZXP7y3MVcBAeEhjF1
SNRl9kzvMDOpDt6Di/0Al3QrHskwTNpoqEKGrdHiXUPgeCQPZrgeUe8fl6JLqweAnJnpXds/a3cY
AM89q9aRbWp+NBTL8mOh9AfJUbBUT7Uc3iaUezvqrMHcxHgOaveMHag9JjgW0TMEHISd9a4mO7yx
J3dVXJZrtynpnsfPi6kwO6tcruPRVOt6O7Wd4cMqivMcrNWhTFVxEKzfCO26oLmuEVKc0nKtjnJO
l+dENvkhjJdkm/UTZqEhsHZm4uMeEG58lDUpYWRL4B2l52I9FFZ4V4H0XodFluwLNrYbaRWYK4gV
ZfzB0+NbQ3B00K/uQr453pb6dOdaZwtdhJVXocbKlxhhnVXy8fe4k8KpdU/cqOumtrB9zyAnWzVO
w5tKnOCN7nb7pkVZ3a+Jdw6cTm6Gy3M+JgiCO8QNN1L34fMM/IYdaBq33NPone112HpV2HqbpGM4
4hMcnn1Bht9FjVc8BckQOlyokJZNpENrSLfwBAjLSTBa3vNgks6+xQZp8xbbyDCLgal3R4ulh4jH
XOpU5SLceV9lmbkNal/+Wbvx+GjLGizKJ2TjoKmLekI24v8yieif/GUIX8ZxEN1Gp5P1nmdivc6m
yn0m5QV5E1bMzr91U4ipHWrupt9i7IiXvWPRVwbdmkO4AbElly6FpDmNtGf82eoV896cC3Gd907v
vAfBoGEIPB2hmSDTIjSK1o+1L++XKi+2QA+o/zLhYQPpTjS2enhfl28zIqVnMFtY46T8xpHUfmXr
kB914mU3cInpiX2pAINoqeJOOjnfqhACyvayli81kPELnSXhZx7L+IRyz2wtD9VLPSwLW9NQecfC
7kieyJxhuDHsYzstLw4poi5waS7Ord0YAiPMXO+npcm+iXVydguM1mNtzcETymLng4J5dY9ZeTrE
acxbuAbDC/5hEmHnwb4e16T6QeBI99pgaHrxg9A9pcMCNNjqMd56xQUxnKZiObSUX9fM4+U6RFmc
Of1nyeaTnFPZJ/jV8zJwX0RDqC972hj/wAF9iHOdfsexVP7R1fZkdg7grDmy2RuglyzXO3i/fYCH
AjzYM1WwzaceIUUCMUzo36oV1JUV9tsVPeYHTxp2mRrvGweSH+KrtjJOY1bTPolSdOj5niASvFdS
ThWTVueH12OrqytDXcewR4rnXMTVIjjFXeC8e5YX3k+9mU+d7cdvA92T8Ta32F/wUi0ZNup45msz
Z1b8gUAPMwtGtOWcIBx9JT1o9E+x6FH2d4DRD06Xl0PkQObsYijZj5ri+duxx+56xbAe7mZL/9QI
XMVWo8untbC0nupJtr9AcOcToSXpbvGJkdjZEzl+Gz3rsYMNqOofPPwm2VVmXpNo0UUoD0U8sj0h
tyMHhRQTtUSoH8chmsYOOaa7tM7PtZ3ldh7TwtlXqV27LHzd+NOql8Hd+WBxb5iL7B8dGvboUlLz
mU2jiKRrwi12834PlDjcLasKvwZJoa0NKJQfpDdiY3MUBpSoNDFdFgn9PxH/WXbuxs40UdL68jnW
K3pJ1JYwC407dkdsavwCVWEKorBTs8QUA+dAJch2KZMphqJtOTOR6BBPfskNbYqLNTlOvAkuXEmz
7oNiaa1DpZqA8pnLvRPQl/TK1YM+W+e5P6GYmtuXIhvNuejzcM9HVkcL7pu9W5Qr7mxsLFkSgk2B
xIykw8xDvSlTaRGB0VT1fRcPE0smX4fWQhgAMe7dD0Dr6Y7EEnmXz7O6ddyyjxJUB9eV7hdOU5Oe
q7BbDmkxweOz1eR1RPoHGHLYyvTRImqTtEnbDHCQ82JfvujsL2bsxS6xw+CLsDeeW6JS6ZBpinD4
7sFl74wpZBPZ44rPhSaYJAobzCsoyt1tYDfjg1VQBDGq9T5dnPARgiN5dUYv3zRC+xFeuAmjWEqz
hVtX6EoJQbjG8JbeEf3A11Yoy30pYR8+cXUVfGey3oeySDQr8AWqJ7lB2igwvf4mMOk1G8aODZAL
eeoA3uymZYIQ6fO85svtbFp+OHW74lY0lnOPyFreuqAZM3ZeK3tckURstIt8NI2BAip6E+amfJws
srasxjgRM9k+sxN8G1J+AiJ620X1d5A/xJpdwDc3b3k9fvDiG678q7HBFW8K+uwqFJN7t5UYAoK8
Du5hgsGe1AA7ty2EK+B/VNucAYqDH9xyi9o0PFTMQQxC3xVIzy3r/VqeggyKSWGkkGCWpO9tFlTf
yUmkeKg3Ah/MBtVe/2vSILoHN8jGzymgIn1fIcFNN3Pftkd/FvZ1AV3KSh2UQIQ56nmPo9Wrh01I
2s9ywj/eXnhAw7RWVFP95Lq6gw4eEe9DohDa4yce92E7ZdPb6A3ibekwWfpJAAtyGVWweyl8DRs7
CFxiGjpbfZq28B9cQLBXxzBSRt2cFVdJIFsZjYLpa0cCRPPSJdVAMAe2E+wWuDrvu6E1t4Xdz8e+
9t3n3IrDoy1EficTFfxYh6LHq0Atd7MtArW2mCEytHcFZB8fHgd4S4lDyY4Py9T/CguRpXsg7Epy
o+f6yQNewUNDwrsb1Tq3vaO9Nv01fZvpsNNJ01ynedV+j6h6OOJzBIaXz8XlXMUfQyCIcjnEsnnx
huu+W8rlrq5ckj36xELhjtxmNjs3sTTopL0G9TZPHD71FmpVkUkUZiWcdDt6e0+n4mkmqMa6gtxN
7F0+CzFfhaqbg73jFAwdTRleTbNfBow99soErGLE2dot8PHk4cC0JoLn1izizU9t9caXOp+vHLeX
Z7TE67Xh0Ck40gv/RbfxXJ9XLF8dNB4RcuA7oSeR5Yc9IysQ2xl22PoI0DGvsN/Gp/XVZozaLXjL
UCizOcz70VYAz3wmYX+V6hhjaznnr9Shg74YoPXg5I1LciqbftqnfWf9sp08vipiB2GPza1y0uvC
UdwEaf5DLq6dsiVY4xufdnvjOgZUzlRyPHkc5vStl+Js3IQqGS8erzF8lBkkS4Msij99p/klpmhV
7nrbznSSYWROSJfKGY8mDD6d9zzaooPP+5/3sX+0iPhoUBG/OaiACS/G//dPHTQcMrx/5o47BPjl
qRmTP0kzf+qc9ocMqyfh1VysfhpuGTLfBxRVD//z6/8zJfLy8somfZPpjtSvf4bwE6AlqmKxAJ1i
sj8t09bXvPnlf+hK+b3R/tvSycuE4rJx2ryOF/5j6dSDAVo17rSbk5GdcAZGi3xLWsHRTS/K/2Ju
K7ERIWB+zfWEGR16q9pQbof1edXeSVv1dK3aanwsMj+8ubxlpPna4tZaWv1DCBaFDFC6Roec++M9
bE8T73+/Vf+Hx/wHPMZRwuHz+u/xmPNHX5PXXXz8HY7566f+CucO/vA8oXD+qctT8DuC+y+Rp/sH
N5FnezwZKAX/nsTrBH+4ngMc4wb8ApcN/b/gGMf5w/OFE4b8G5d/INz0f5HE+084Bhtv4AsyGlGZ
qgDK898RETV4VuuP4bjzhouXTN+puPh2AvA/NhgrHh/mpvju3PE/VeAG/j+/fVy8jnDYq2zlefwt
AE5/15YmKSeTMuW0U3HY0wOIZG0Cd+hxBmDxOgmbIshNhv5VbvzLnb3+vr7Ly03OZtR+uxjX16gA
i1ewEtz6TaCbMyZ9RoEu01iSkgQN4cYedHDvlt06IPmZ0730YkGsAiWBRs3+lZWMiBiHkLGjvkwg
5WUWAZ+6o7VbbRVjSn6ZV6aC9KsQycR4mWX8rn7Ul+lm5KpRlrDPMAo2Hts+f5S/x6EVTuPW+T0j
JU5x6w8Wg9N0maFkkD8nYcDrMTUPB/K2qgftNbuiza9zmQ83RctbsWLoNVA+WDQ51y8j23KZ3qrL
HCcvE934e7iD8UjuOBT6a2ToXuRAFG2EYk/etJfZEDg/30hQ8dfsMjkqb153sQFXTsqG/ggxPWiM
49v4Mm6OvyfPonetvf49j8rZCu4Waxi/41Uwr9ZNyOya5GP4NbbENOz0gj4rIa7lZf098SbiMv3G
l0F4wO+O/87VBbe4AJRhF9DLgTzE9EwENdQZ8M41oiY6ikmAuV2zyr2zM4MzGL2jd99dRnJ1Gc6z
AbHD1K71/ZrgN4oMXrJ6Yy4jvfIrpvv2Mug37rRez5fhP72sAfllIUAlbM5gA+1LVwfsC107WMnW
v6wRAh3qVoBFWRC7lz1jCiCK7xMBtMN4i6OQ52BiFZ7rrorcoQ1HBtnJPXKdMO81qW1eq1IA+G+Y
NsYRGQr6jk1bBvqO/w4Bklhq55dn+R5q3WkmFglB6j0CvoFCrtlKvGi61K15jjWe0DkhMwnqJp8P
yUxayGYg6/Tgpv7abpuk9V49DTZIjBHNHFs117Cv6xgEG9UPEK/AD/oUVwz7pC567c00peM7KZ48
SEVn/0jsJv0Vj377yTuTPQ5FHd75hQfN1GlUaLsM6vMHiwM4TDaBUIm8JnEQiGW+V+IS3GpE6hzR
TofEWxCX8I5de7hSJldrFLtzGW8ykp3rbSodvRMIk/f5UOon0Rj5WDsBctAFZZEhjr5D423Cef3s
KuikTZ4s7cMcO+H7EDTpW5/x7u3coG9uwrIk7ikIE/U6w9ldwgswpzOtrx9VMw4vyOtKLsy6Vx8E
BCAnb32y9B2npxVAoZMiCM7pnF/WkDlP6dhWr7OXxw9qlf6PerqEWmFlJ55SLIgIEma/CcvVTATW
VHvVE73K5IXoiZw7PGUteQi5IitzAF6Q+4w0SpaOHnaV6BlfkECnlNmltggOGM6Y59LEEBVJwuyR
7EGyBNMi7R/7Ze7QQiZ2eTZQNg4BeTGnCE1X9N5X5WIRnqSHih00KF5RvoKkkseD4lFhZ/q07b7G
le/J6mg6C/M41jBfn0psK+j+sovCcWKjxccX5PdWVab3YvS9CSmn56PWJG/yIWsC+cpHStZFS8Te
RgWt2sWUMz0lk0y3busC4EiveigRWqJTHJTatGrtfsgBcH+zcgz9XGxXvXOY84kGbW2lm8F3kLu4
QWWF7CIJyTbJ2rLjW8gCDKkHC8bxceU3tdrxakqUrpko89CKCCnjWJjjGJco2rj5dhnV8lrafW4I
qCnx8cczAhe2lFD8zMaBKRejodfubMeq0QBrO7/JQzHdW2hccZ2vHkrvGK3fDsGX+2OpTPvVJQah
WJVOHOmZHUJcjaJPTNSWqQHjDEDLT05sCR8xrixuq7qy0/uGjrB0h4dKXjWzStLDUMoxvNKky1xU
GA7fLmKMM7V1u9z6WFCkx5FO4n6AOK3j/VAPsKLL4Lt7V4INbZfWkDsTy9pyIx6cHjl3g9B/4zaI
86JmscNtFzfa2ygaffhP8HYQftoHE/RrW/EjgbliC2mjVgTxDU9S/+7PFlFjRe8DR/XV1VzNxdnk
NgexPajyqFLNDVrUk36rAodDLwmy5dYdi6DeVWhxXwyCcRR5rC4dtl/X/2qIEHpaC4FTD9NJhRvA
xk/kT37/racZlTmMQxpldT7uZvooiE1ZHDyVLVmSSVO91U3SXyU0cGURmExFomeZ4L6ozbkSKN8s
8tDOGETlTvKbYwzPb6cljTcT+5DeGAapP5PYK28pcRxIJFtihK8FyW8sSa3n20cMWjbr1RTEHyAW
Pgn9aiz0dQM056AHm9M3WxKdtEV6eVGeriuYfevwt+Hq1j+kkeqZ47e9X3tiiFgh9c+G+/laiWTN
IDEF1SITGUMbZzAIORP7slcTO4p9X0xOR9ikLgxfQ8vu35fJG+9d35rhX2Nxb/uD9wuNnBUFcWZe
PL5In6GyYjdiscv2a1MehJthvA2aESVPX479l8lm2AyvG3wvCkOLXFg+NPGQud1EkwiRTWiSi5Ig
4dn/6U1p+o1Oq0ojJ+2AHpCokTM5kaKPrAcJIDEmZnVnDOsJ9nCNc+KD2yV7AA1OV44tOldQoYB1
lttmbC2AmY5uvTsbGUaHfguO6FT6NZlQaGDd7dBPMA+yHPgSaOSkg5V/dCKMb5u5ecNjnW7Jf6WC
IAf/zyqEaHsGA/TN04j78qxTVz0pI9Ml6tDrqKiC/dm36WqhQeedABPBCTFh7s8R5QSfnRjluSbd
Gd2x77CWxg2a5c6y1PXkOj9pJOheihV3BdrLsDz6No8Z7MiQdRtHMCRAUfvjN1KNvNt0kw+EivM5
gE5QSbyffrs4AtrJST5F48S3UyKz3yyL7Hlo5mpydnZALNNFxms152l23bdl7HiiKqeuGYRKrCMs
1A52aBvQMDA0e2+44J3vvojJR3II//yRUcFtCPZy1zv125Ri62repZlOqo2fYqq6xnGir7IuswjQ
66cAQzeay03RBxfXYDG+y26GvCsnlPOJpRoVyUHnH6Rpcwr8y7NEwa/zRPiG6x6TuWU2YbFfXpZi
ITtO/7bS6JjlesMjgMWmgNVPbrS05aP924RTLgpDTmbKjnhAWXenUQn/qwLCxg4eR0FYlNu+a4nN
uzh5vNlN35ZVEPJiGSa2Pk4RKlY49Wdb94TxrSyr5Oeiwh6xB+mLT8j2onr0wF1dixjb0JAgPgbV
3s3IMsKABcYGYhghpxF308VrlChcR5XE/2t5eltla31McFLkG51jT8pby9ot9DvvxdCDhoWxy5U7
x/fIn9Aa+VNg9kFffYZIKN94EiU9CNBm6FUk37DGD+99JDHXebouFv/H0n80js6anT2SomJR330j
poX3jy/F6+ouHFellHRZBkOu32LiA56H34arzEBDQL8mgwNC1E7fIdPgp4trF1Txt1+rkbE9QM85
wbcEzEFAaKWYtlpqgzYNCUM3/5+9M2luHEmT6C9CGwJr4Mp9kUiRWlLKC0yZkrDvCASAXz+POYtV
ZfdUTd/n0tZdXZkSSTCWz92fazROTGK/KCYWT+EiS3QZr4Sa9Fdi+OOqnhv8wzOLyqIuw1ph3Lwl
yMIyijlU9v1o7RSWXgmQb5wOzi10Nv/Kn2FEwiKUxeTpXWeyY7axsslPBad5JqFzOpgYlvJ2HQkv
ecRZa1yrCTFh9m2oWQWGL6b/rc8oCtYHI1RwsG6jNMJd6RmHLA8H9vspITbnx17wVIXDzKgvnDgJ
slHmDfwFBpgkMhp88KhMMSntuuGEZDgTb63vVM+CvtxNTRLOW6usNo+I5EgkUCyZskVul3+blAy6
Q0Eu6ZOACnE/5GhORSUVZcw9iI71i0iDPjEVAFDdwUiyiqja6WliPgmbvHwtuRmDT7Lb9D11qsjc
cI11z0glUJxso0S2tH6FEKNbHhENAAxpXZKoXA06xE0lHWGNbMNVc2mlTgdCjDyGizaZOWBTRkXx
r9MCbPNh8B1zCa9lAw/BfPJvblxt5J+wTEZYRSNOqkUr/BD6CbUc8MvRYA9eq91T1SPSLGitCOQh
KaR5CFs6tFiW3Wzfp2770NlRjXKTOZrPkQTOYhjrdJsQ/dxrGbn10qjSD8/vgDvikxRHbsnuBb3h
SPaE+HxT7QvLmk9jnD3Hs1esei5f68rWW1Lq+TapjH6FLctaaMs7d3wBzggkco0dFMN5zpi78jl+
tKgiMfDIPlsz8eZiQYBjFatcLUbki02GhXRbNqK8aKcvHhBBqlUvODWCppuoxtlyz87vKhISWJO4
iwCR4XAxph50f4hh1EvvFBvbMuV8GXWZfii91nwBLIyz2aH1Z1W03bcyHEiRJoQWBkKvGC3SaeNi
I8V4MGp8acrD2T8G+9Cn65nziRURwiQWswrChpCGyECv4Fid12abl6cY38MB8qB2lhUEa2rCZPkp
O+pFpNl91UC8HqJh6Bf9UAZvFYLpwQec8orEFH1INtClzxuk2hywX+8QVl3USRi7a/7GzHiYcTP6
y9GuR068cVc/FW1v7nDu407XwSSebPhjxzwskZkDA6XAi4fn2m+y76EysU1Z5mR8Dcovu+92xjXo
FgMZrE0ZSnPetilIRFZSa1z1Cc7ffQLE+cMQfXs3CdJAiyEO2MDSkcKOBWG3TG9yBEIQyTK4kCGW
6QYRW22UqwfuOGaNsUQlAqehKzgprLLbnlnLGl8q1kcWKqltna04I3UH2MEsOz2/2lsPf3xYjSrB
6ztiXwtZ/i0KiVzkQ2eDYFyOS6vqnGxZ+8pWC7sU3vfe1+KzdnFNrxwryKaV7GSwD4ZgDKBX6y5a
2mXMIVrbufcpIzunQWCIj53u9IlkDj5s04w5mCqRej9pQ8U56ERNcmEsUO16ZdtXRKWBhjSJDLCi
n5KyhBBbzbKusS8AmbgJMAkKNWLML2EGO6t5p25qTf5LuOl/iTgVLMGf/S9p5//no/+X+kI/MEmh
M7r73yekW5UShO//OB/9nz/1XxNS5x9Eyyl59VD9LBNn1n/H4D35DxHAPMAmxroHv4gh4n/XFzr/
8AWm1P90qwnX4w91/1VfaP5DCGiSJNYtSyC5/lsx+N/nlMxtMUCYDGMpe/KF/xsvJbCSwetY7de9
SzchMPRp+hZb3vhv1i6h/noORiIv8D2L1/Xbj+momEr1zVTvOdnwfSCee2t2iKgH6TPmQgXI6D98
Cv/CDferq/2PusTtJ3ouKgymPyaX8rdwf1DMmVQZHFFfjAHjg8IE34pUy9aPQadcFV6RPEoFMakP
5ZUjQmBg5y3m7yWR0K3ZBOmhIwxCVI3aHeDX6SGYcn2P9WS+E2NW/03h+z+hS26/Lx+5g2s3MH3z
10D5DzCClCHPpMfSX2dhVXzoAXIHIwj+k5r7ABNHKBFcfTZdbPYfbWXOH2qU+mWK0nrrqgpeAZaW
57Ia+0ME4fDrr99O65+fE349m/o8AR8GrfC3ebYfNERkCVmvlaid+2QW2YgpvLJXfqfjI4scZJpS
IFHnvQ1qkT7yXY/tDwyjL3fx6PjfLK4O5wkUixD13oyNywhVkyPDgAINu3PI3sjfyu0Awe8hJ7X+
QzFa3mIuq69//Vqc31WB21stUR2kZdsOlW2/9TdJLL4mq667rlUe301uy77EjTNajbWMD7pNFKNo
23TXRtXpDzohqnCRM4zNAJH0LvHMwLiocezfPGfggCkEBorMcF9HkeGXc+/9NrFWhAsHjiJGdOZ+
Nuz7CusFDSlvtQtFMAndV/IX9glW+7JEl5BTMuzqySv2kGBxZhRlc+cQWSKwE2usdFYiwk1ccEJP
0VM4zUhnYeXaJjhuxh/SY/izEIqUFZ5yMEQpfkPmgEzu4VdqwteWEfSrah7T179+L399cX/7mvkm
oxSbK5+wPe+3rxlhji5zu8ldCzIgAFqykk1Um3coRVvfFl9GqsczjhCsGgXnyWLH4UN/eU3e/nDq
pr9vIg0jwGqY9pFvzVeYsDE3lKUvKHqy64cqrnA8Dl000r1STB8BFrFHVYfVMchH41XYWXRXz14U
wWsCR4a8Md7JTKWbXnnm3zw4/0Sp4cHhm3nbEvAdu3wV/izq1NKsB//2JeiyZjhFxY24zlvr7GuW
9Qdj8oJNQ1EjeLQcx2ojo6Ndu0x4HCnrHdAf+YwONX1CPTf/zQ49fjMJu0lisPY8U95c1n+Umygq
KYbc1fSoSMtd2m31FQ/TnsnYuPLH4fDXH/q/WAtQlfFMY6eWgiX9zz+sYn/QcurdNf55/9WsJqaA
g0rPf/1Tbr/yb0/Wn37Kb9/SnIIMr7Nbd83ELPmEIlURvCkxJwJSmP5TAKYj9X8p8f0XPwvXNsHX
W1cfrQJ/fkU8kjhzrMYlR29bR9so5g+SPgSnWtu8WmPHskthWEC5rWmWD0wJ2tVfv9h/8ZYCAXUC
X7L+O/zXP/8ChLtdwO5kofLeH16Ehnc8hrP/N7uwdftr/vie4kPg4IAgyRJumdL/zZ5useTKKU89
BJv2WndWtCzMaQvs/DJSSx0kZ0JYS3vUHyMFWCrOjfMs0EDYT/Ax2nQkBErR2BA71cXrar29qUOY
Gq+dRSIWcLS5rpMoX5iYRGuHwCEx4bldFbr5TPHl/fVb9vvzgbQLXI690hH47U3b/vNbNpN8aZTH
XR9HRQXVLUEymgAvw3U0/ubT+ae3jVTAbeNjYIuQjJb95x8Vz6FF9YURrP3cA4s+ZQZDu3k4Ri0h
H7sL1Y63OvibH8pR8LZ4/vHjIuzLesNxiZWVkMLvH5dG4LQKocM1Zokn2mPJujLbx5096le7qZA6
xNhdqRzbA158g+2IXRTQ3HsaEcLtzZjE1cj1V1JRFnoPXY1Bl8Xt1lRdb2HJ0NwUJm+h1b1VMAgT
U1fgD0hpU1eD9yvnluLrcY9f1oFe1JkPECJrwoK4AZOJycDN14v6MJkbwqjuvayYoOKDuqstI9/4
o2bMF+IPtOviohr6zW7tJnyBrnQsg/thp3PkYxRU6jx77049f5TIrOdyJrtaum702lHlcjaa1NoA
sQRPAPaLRhLA4G3np1tijSWuuiZP38Dt4JhmcBIvg7EbPqw8aNEXcTgRKLedtzGx5CYwi6e6Hh5a
Cf27WiRYrX6GpNrWhJ0INRhR8d13SanC6HPbDcTQDOhJAIshR36xwBecUEWyBzF6oQIK0PRwAxz2
3FZZn52dyfui8LtNIiIBBS9jXBkIINGzRsVdhexS3+Hc6zWZVvCfKRe73Ht064R5Q3PjXZZK0WIy
N/F0bO3YuaCfNUvoBOvRNtdBNe6quJy3Vm4Tt3hSA2Eqbrz9ZAVfk2YSq9VTM6hP3AHuS2JV2Yax
X7EO5PCtiJtDV5BX61QPZIgilpcmTe3LkLUkzAFcF/xdOWTDYA4Wgd1cioDhYaTk/ZBBBu9ryMmx
ioBYZhJ8KILucG6ZeG3FnLsP/SABr3Z8bIqxr7MI4+hLDn0ARzTsdmYD77ujYvW1pPblm07sLTpL
RaN5OsqHqipqrJ+k/BZjBJ2YErxmWuGDmp7zaO4vDOXUc22lqG9GC40hDustwMrsZNRNtIMxZVwz
DlongInxMjUtcyUYOfCTvfoEqU6tM2CPa+VI8W6Eot1jy3ZPVltDXuHT280phXOMgn60gz/9SG+v
UBPK2NKg8ADcaTtXT6YQN9DcdMbQfB8CRgUimep9JbLqZxiK+AmGJBXktko4gEsk3SYTBwOw7qrH
tryaA7DMFTGFi9/o+JQ11bwy60nA327LL8Y148YYnOlAzB1ysys/iTO+lbB00WVEBbK/RW/+5nd+
tXMizcR3wocb2wAIVBfPewZ79Au10be27r5R+a6YW7ui/ZFD+H2JZObtsPJCs4e2TblKiSmk0LgQ
i9aFWNR6u7StKXKDqoU0yi8lTK98gZFg3Cf8VqtahPzLWXllhR0JajZ6DzjYIx9fRlvL13dhN3za
bnTMwUMsujTwSoKi9rhMk5h/wYjix2EM5HoYB4M5m5Q3/Hm2xjJCYFpNPzrpVte81d7ZVawKfAdn
svDJsM8L92GuTfui4oLPxFIV4nun1cERneZL1cebOND492EDjVZV3/kp6lFm0ygTTUC1abOJn3ub
8THWyflomg0vsGq6JcnidIMhemKDaGBxiDh97xTWMxzx+sRoNL+4U6UhvBvF2qB1BGRQukXTeCO/
022gJJUrgDIN6yodJUPAEAkYwYkiFnLwxgjwTadqoWWTQrUCawZHp3kgDkspaMjVDhpo4bzYYeOy
BuIYWVPPSWNOdka6UtconI7k/ZExuv2cpU8hxChecZ1diK4AMpkS68Ocx/xaDyknfYnhbpt2lk/x
7Exf0Nh6ZyRAZ1XWcFCa0X4UAOTd0rEWSoUYeny1BWal1kFr/SiH5hjTZ5A7GYZEvBlQM52thv61
bQ3zscpqYvbjcF+6Q3inVYUI5Zp190qqVNDMQWfO94jrGTM4LMybKaWQbQGB+9hDY1ninKUZJ4tO
asYF3FtaLGNtz2BcKnKkRtPidqH+jKk8gWfCt7BVKh0eOHZQBY4F9VjZxvBgCDgOiQmoFo5+fXC9
rro6XnPB/E+yNg+M98Rpq/e5NbOtCP3kJSylAzjESe4gPtmv/NbVulOZeypxPG4DGFLb2Kvj9wBz
wYFRKZURHjtna00wiIo62A2JQlrtU66DwC9XHeLvvrZdhNrJJe/TZuY9ZXcK5BCLN8Uwl1Z8ZTFz
BOoyp+5J9j7FZIwxHywi31cPyfhYt/ktge6nR5N6p7WT9+G3Ek7Zq8qBbwZWLq5j1DTb0nXYC2Mr
3Tptn3xndImO73TNZmik/0rxI6PSOKgOqR2x3cbTAyaFeDVmdvTAZKcnDKyqO02G49gPnXsX2spd
x+FgPllmnFyAn9n7ttPyzgkishhBGt0P1GGszS4YTo2fftRFkz7FbmEub2NZvDDNulHdD1m40IVz
zosLv72tLkEci2yR40dGbfGmfecgexvtoVZn9wZj7rzyrHM0TMhYsodX5oVrQ0n/HhJide3nxAUd
0BSvvoWvwjCclyl03BVmI7a/ph+2zHUhdvSI6Fta7kvoJF5xi+F7rGFOu0Gbhg9gEkv3jbZ5NNDz
8JER4RqIyLjxvqEMYgNH0QFm01Sr2Sl48MO+RaMdS8/Zp9Ew70tpUs3e+w+SP49hzTAuZZDm93PS
fHgdFDw8TzYn4LwtH8tWnRAhd37nfJXyZgOYowc3C7zVOA2AunWc7ge0vqfITyhIRixfMI6676Ia
Kyz5dwmhCuq0plRATNR9kp44Y1NTZ3Jf0TNXTFpXyzwRm8ApiZf46Gwnxw7CF7/1xbUoevOGca8P
dhSN9+M4dh+dm6AgDQ1anC75ZQzTQaQfzYBit7g8ZAnuFivmz4lQGqsW5rxAvarNTeimNiU+oz29
07Hq3xUos3jb7Kpct4FfXuvSL/dxkw6fOdkXtUA2q48R5XnbDqAIfgmRiGcj5ExCSWMAhc5lvx4Y
/wB8wGe+dXBNsVWqJkQkFIoPn+aoRaeLaDs1tptzzmw8OuRjayZ/YOUvlRuMr2Af82jVdngHCHjE
YUiBNZ3Ii6ZKg1MWZ8PGygy9srkMEdkLDfeNtBnzvDrM3zBv+VtqohFiM6oTUb+LAGdVU/PLmx76
TTBTDzVAnqNepDHm84j9nyMTzpMzKkl3nw7plRDAD8dPv5G7w4QeT9ahpQVzp9T8qiDQLrsZihmS
SrtT2MzXcEVQy2/bjWn5Pqfbdm5uIyLIuaD+Vhi81J2FCL+hOSze+NSoIQL6pL7aIhyBmOhNCOwt
LfJgw+5Ku6598zV1U5keDbAgL1StHVX4QaXOVWrrCe7FuwABL6cbZK97jS108iIyikszmHLXmaWP
ylT4uLpl1q/yKilWlSkglFdUWp4Ks25XPuUNuyI3IDj4ucU5SbrlfeC2/SN1IJjKME7BLqstdcrK
BDwI3Y4uEj2gzyW/giJF5EYXqICP4VjY6FRl+TbO5kwtijbtHaMl/TmkYf+I8tpsp7Ey1iDf/B1d
P9FNZ8+mD4X3kOErYfvIuYFVSrve8k2WOJba6iKjVO8GU0RvZdVTwAQakh7UCA0mCg52mdUXL2Pg
AjcpaVZDl9Q0a5b6xWzhuHFXGeyGMhXERI+2m4/RTPoJiLeXfPFnbjkfrFKrZjI8NlavjR3Usg4R
WMt0zfm/gwoKK2ztMGpdt1ZQ3OEQMNxF4lX+hl5AwB6BCZ+B8gQb66ll4AsK5COsey4MPkNDhMkJ
HHHvm0dGFBWgEtDJfa8CKvoo4HNCMnSpXg6UEnz0DB03o92b73yH8ZbaOtzh+5kfjMGkS84PINWN
qq32dimNezOmm3phgii6z2PYNZgpyzVlRSX1DVhbVSiTVWI74lhE8jkfzIOFj+HHrKJka8ZN/Ej0
qHqcXdtYqhrqQVKwnBJQ9i44+c3vMdC7KxBy697yzXDBXxn9vC2F31Gh40elC2oQOeSKY5tSe01h
a/BMDVH/5GdBFqxUn/xkYclP8aDHZ9qBkVQTOBMbAR/qO1nFhtcQZ7uYsA+dwUl0EnPUXAYaRg9V
Wtv7OlI9HmcgMJVhRd+SWoVnVM+SLxCzFw2+/YgPuPsGo86eobMHOQy3mURdQ/HMLyjPrhlgot+m
DMmZyeDwkjlMBkeDXGRFi0Ow8CrdXSBM+IxT5nbalZzXjl7ee59aNGRu57RMLjaP6qWR6VTG0PIs
a+/63I/jnNvkDtQFDcQlpb6bJpXlLi51+q3rivatSekSWtsmwsGiamZEZg7n6TPuuWBlyQlYSWFQ
9UsjBRcbGRXmXRPDhzI8E7ANtB2qBVrSYraouQbG7QPbZLpp7Tm3+ZY0hD4nOdGzUJbPBjXZmLik
u2pqylnmpuxPmT9e/FD6PPxDpnY1L8GgWKIuv/ifjoe8ikF0nU0SDCeuQLSOMZIuaK4oWfkt4VQn
JAS2bIKow8cgGJiaJuc7/u/mJy1h43ogzXEWOKK43nPgORE5Gt7dOKRr0zXKliiLS3VqVToavGEc
99u8sTnsGvOkmmPl4KZpo+nKC2WEXrejwaWqsLds6tN29L1il9mGab8UYdh9UcCWc7VmclgeLKeg
KYuLgauPwZR41mIOBSCkfMpaveIkbRhn0/V6eRSTR03M6LqvqiCyXs/SvuazHUDxSpppUQxVj6mX
LtGKbzttjmvumfrcN7phKYD1Dq8rS4J4Q0FSveoraHguppF6PXXtZN0x3qNeFxA0QpWsaIZ3NdjZ
ERoAtYpB95zgtV2CPfZwKPjc0ww5fs11QJaMu7c+zFTW/XBFPWw6nJjucmKHRQTXg31X+MX8zSL8
/wW71Ls3Z9f44KU3byrUHWI1qKMDWyHLAJ8NIcWJzrL2BM9qOnUVhlbcXHO+GdzBvGMaFrGeD1hr
V4NNETIuy/qcQF44VbQg4mLtuC76upE/6MLLmK6zcH9rBIaotbT1EbCUpIaPkBWZcO2BQ24gfOa1
E74iKfG9GvIbCC2pHm/VLHdh60bZBo7tjxyUMAnFeOn0DuIJ88wtsaVDllG9jRHB5zwzG9EVqGJO
kcHYb2yzjo7U/IpzBqeFwUerWnICQ9ltpnLu91PRWOsalme/LqyKEHjqwY1h+3qJ8LfRPShjD9uF
Ft2hndPsHZQvWXBd9Tu+qtGxkUo81F1q4C/PejLGI1XpBq7cHpP8OE445Fy8aktnHOb7VAguBtyG
f1h0fdOLM0eU+42fnRg+286gjYL0PCxRsbcFBiZJM/3G0SyhMLXVS1tH0UEGdXCXwmn9HPA2J8CY
kunEZIudoeBgfQti+/CwHcEYtKXZdh5r45N+HUy6aGtfneXq7uftR4Dxgz8ZXMfYwXzhWYOZUSqX
cLUnaANq37QnZ1GLwV46IS8OPzVX8PnFbemfXmaz/pFApYPsL8f+PIb+wxD37n3PGuzyssJV0o+0
qgWZrY4DLsY9bpF+wbfjzeRvgRVmuLc6QT/bev004oeKJOXI0/xdKuZwYA8L583HOHQ2G99+7Xjp
B8k2vGC+2O/RuOhYLQv75QbQc4y4mWH0T+7JEKNecpYhF4qVc9WI+T6GAnsMPIqiwr6pP6Z8ZNxW
KGOLe3NYGiMYB7vRPcVTVNkT9aOGTRoCFCBH2mhRs1lprKBsyX1mjVuvnY1tZXbYYVsPV0SkrJqy
DaPcmE7r7ysfT9SClU481rLFZgGqNgCrKgnfGynUD9Fdi7CNH4TFXDAwOrp3PGXfhyH2nJTncPKm
KqL6o5p2fOIUaM+Wg+gqNU9sHByrIXjVhu2/YEfyALq29TKTs2A0W8C/Zu890BJl38tB0WDEceV1
EF56BHFRLDkc1GsLyxFR0AbrRxDo+1HLDGCAaUzrAEgKdyDuVxd/4lbsDHo4ttAAfkbtzAacAzG2
XWQ0EBvlc+G52VMUqflqGJH/gl5fcSVKwuJGNqKBUxKJWOYeXN8VTFL5Im/NIXadW490+gbcZxOs
kU5f78XcdZsaNv6y1W267JpsKGm451EJnFuXreYsibUVoz45JRNeZeaG8SqInYjj1gRtMQmanusv
tQuboNIc7bFXkfcgSzQvp66pi02X+OraC+ICOcd7HH2MRzTXLouursDVxiXJp/TUVFV4kE1B62+F
q11r17sbHepJdSbKDdTddOUOHXegjshSG6b1QzJWD11h289iDBdla31PKu89yPG4uZU3JjQ3QXzy
4rmgu6X1lv2U33sqdHcwVswrnWX2ktYveaAiPL9PuuypjAMLB/IQfzWEuh791nGeFPSFfcIRZG00
wyNtY9DVabW/6kKbO5W72WlkJ8X0Vq67KFVXgrARJuGi2HZ9622sgikzA137HtM+RcKA2CBTVuUC
MeRNSWhoZpQbWyiee5o3/a1yeIzSuP/qua18TNiy7doYlwr243J0Z5/+sRqXZV3sTavK101bZluq
x5kNhX4PeJzpwHqGxPrUK7WZ0WPtpuQzRutam1P30+kKmH94hM9S9S1eQKLgZBlYSUvmT1snNNWm
gpqOIay35Npyzw04nAX0BazwrdupDSxscFs90jJJhSY/SoyNc22sg7Q8AZRQb0XgfihpRFtljGIP
8IB/W0JXVGa7rDrvzpr7nVFzvyMJ6xzbhkIgDrxoB8W2itNLRVXdDxCimqWJ67Cli5Fx/jAdGYA9
Z4HDWMH0lwgPS4uq9kVE0HSPf+8YAeTkLjHmHzZOdOz17XeIa3dCcKtYRElVRZiqMS2j7VtsB4YL
SY4r0Owme9+aOpqAgqagmqdEyeLo4dPeNGbAmrggw8zzAbmBJJSigOV/u04Qaxy/l7BVj2QTnJVd
gTq01biJWHNXph9lAyBE9wcIBueRIkuqNKPYwnymDcvbgGnud/k01Q6zlio+uAbJ1q1dCPetHYQR
vYf8A76ebY0DDK7Qk+1gmiVfw7Qtm4Z1xve2XnKXXs9STkAhgppRBt0nl9BwwsemxrCWqKAKtuCz
9rfQdiRpqG1cK0HAHLSedkStkne8huyKPmxTTKGiSp8M6uiQHIF9BO9RErIQC9fGtQZtPjx6CfeT
ZZR5Qr8FQZpdgsh3bTBKkhT2pNBHEGjTu9zFMH4jjS51Q94CKya9RhH7oQcG47aeElfHHp5cUz1k
j6rH2AoJQtO9lVLsudBhiTHcSzz/rS5z9T5VlvuRwfuhditQJDcCzs0d9zrseWO+mWfwHrKZRL9L
XbZ7sJdMI5Jo4LYY1rhLpNG+Mihu16mlWyTM3j/4nssM3/AXjgMIMJzzk2dWGGXr5mynFk3V9Xts
ktlD5zq77O9RVZ5tIzp2aW88OoJkDra9Mrq4HEjueeLitxCSDTdioKldZN75k/ho3VHBFiXfA2k5
QV2aGkAy9NoUwfchGq5uM77SXDfC3gw5ZqSz3exHGFiRjAAylG11olgrWHotD3oBTgZLsXUz2Qh1
Ze8u2SEzpmTUhxS0jxTcVHvDwSWZz0PxOZNuX7aO3dEtGoO4je1F74fcmZzBxGXioUrRAKAfqQDr
nyNFRnNMbIbUuducUgwMZp7dd7ZBt+noi5WQMUOKrgrDV+4LhbnGldas/Mye90Nl998TkRLqar1p
PM49YA/Q7FnKwTdBFm6osDQKFbHkxfQvVdjVo2A3mVCBTa46FutPAYQlL93HBqAPBy3mp4lpII64
6RtwRkEtGysus9XxPqncdoU/f36dfG5txRIpi8kGOa/k7LXFq9bCvhBMo8W66+3pO2SzbKc4Hd87
Qe+9Ts0sGH4h63EkmkEKpFNg3o+5gfvV93kb8IMZVOt2UXi2GQ395G7KLWROwxOBlpJBBe8f76QR
+2IduiJ/5gqXECmh7nGylroQ5tEJ8CPH3ZA9F+BhWlXrjVvol74jatlV0TMC8rYW0t/laElrNbfd
0pwmYidu6zLjTg1wFUiKrCvJcw+OGsdIzc1k4EFb5J7ZfpVzcqobcK+Ebra+1VLWlFdrL9Ns2Qzy
l7NMmMDH9Rq377DqcNoQ+7PqaBNMBeiUCjcMuS43+WEpC2okoHi9K7h/vpplwGzVc5q9m1rNR5kx
j12NFg+IBrGfLIomGB5z2Ip4gkWf7bIwu5GkZv/Oj2VB17jXtVvFsC5YAvOd+b2IMZEkiC4xGJXe
V5wshjo5oJwgOVhFvhvbAJZta9KLvnAKPV/nMSl3GM80oVVKInYyM3PStZVCTsB2/ZqyKv6EFCVo
rBLWowefgjnxWCdHd3ZYwlx/eOgzZLOBXoc16wYe5cSquTI1lbNvLdDFS8/V2UlzjjkMU4gBX3U1
lQMx9CWCB3nFlx0GBOG7nrd8aVjqJetmEjRkY9aJN7RbLUXKsc7aez6klgVE/q3bcYJacCm1iEOQ
34hpCMFa3DTzpaw/ujQxPonDGcvWV8Zddjvx6tlKrvj1IL8HmMKrIk8f0nn2dnyV7IeAcdCLE1v+
WhKegu4/E1N3CVBYcwd6OKvGJfUOrFulld3hc3I4lg2cncOGvHHD5zNwltsoVumtZ2fo/lV7U8aa
UHzLGTccQlSgVZ0B0i0T27uC1EzuM1G5P0Xg+/QqzxWbR0bry0o5LnUc+la3HSu9YoZkr8gLUdEI
guOVchb3UfB8XuJa8ChFds/cYa6uFMl3eNVphmTn6VYpiywDqsHZm42ZMU3JpmQlM0KoSVFnW0XP
0rcmZK2rTBtBX5c42xaEH3nFt+zEQPeeQFmK/L5b0xjx08FH++YOMjlPVteskBOBzmJUXGDaprIP
POsS7o/HO5VXFMPb0zE2JFtOVA18Orpq5LuhjTdAbJ/R4Nv3bmA/8EAxrWeatCzyPn2IDVGoFdHD
283BiYvxFMxI19sbl0dtKxZPiivabtjxWDccH21GprqQhFTSJHr2G8L4t41oMFdVkBPfN3hnsQzM
wV05iHDn+kX70yIUazNzD327PzfEYvalOfpLWivJ2fQ6xT4T90l4iRgWPfJ0Jd+yshav2sJVTl4i
Wkck6zZhFc5njwTCsvFvIVCQW8jOuTBfcV32z9lsMZiSRcM4fBZyH7dWs8Q2Fn0G0SxXdUhDfeDN
02MTNPUdfajFht0iX8O+7w701xPdmCl7QX4Rv27J4FMIWB0Nws8rK8rzgztF8OYhKwCJTFBMZrLh
m47c3YlBS7+f48x4zwBTv9gdB23YYMWuM2KAXp4fb0cqrjai99a5NaoPA8z9PtFWKCAxafrhY5Hc
hbMeH3gic47UTvtWeUP6k+ZBZulEkB99uGJUXnHfqYGP0QGVG0TJyc2PNKFS0ewOTwRXgb4gbsiR
SHrfPYqx6E4OWD/3ZMpyONA3D0PINbQCIRwkuyaJUdDnzHwgdUQbr+EVYheIOF/XXo9HRdRM9Wj8
eQoB6J+g5nIQET5Dm9yCegAIfFNHHSKmnPPnuC2wkBhYqOauujcq49kvjU8ba+dTURvNlax9uDGq
MbmdaqthCXn+xTTa4TxRP/Rkj9lwNWBrrtL0ov+DuTPtjVxJs/NfmR9gXnCNIAHDgDOTuadSe0n1
hZBUKq7BnQySv95P9tz2dN/BYMaADfhbV9+SSksm443znvMcpNat7WbDG6zq7t6znOnNoNM3zDCi
nJwq9eErR8Mbj5U3kRfOZTZu84FW+Z2Tu/apLDpzV8SJuodYnq8jb8x/jWMEO07b5rpVY8pVxeTp
gMFqz90whbxU2z05Vel6RCi7ZgdvcnlXcQPVmHCB/aUcg3msqykvLZiTT1nqxZuSXPG+IWm/6QR1
XnE92OvGvVkjysHn0RTXB1ULdJ8bsN2Rw7EmDUtLrGW9eUFR8azlq1KgLZT1gNiansDSO5Sx9hmf
VU7biuAu/U+Fc1/LpgtVALDRSEr/NICLWmXlb41eIybOjCKikZYxOrhVc7gNCfeE0s8uK/eNQDUW
fvzuJ8kvXErfPmrrOmaLnUbWdpK39pFOZLu6oaBYQPIn8borU8juitBonc/UCKnxHLfxWcvqdRp4
7BDu2EwFiyHDmqHHx0nIW3Y9WO5mTKVFjL2motna4xiiz3BMQMeVxdrTkOQ8tkL9Sk8ssnzaP6k5
J3FmG/vFbI6F4+6p3Ty7Der3DGPoEanL3Xf+lG3dPsaPXC8pl8lhyH4CSGi3hoyziy/T/Mlm//Xs
ldwYqyVFCleVtftvS2UyN7K6B5XXxx+k+dwLV2CTrt4YYHiXdi9/M+f93ybq7L6ruw/13f332yf+
gjXfpgAu/sc//7H71z/j5NzAovmnP4R/S3E8DN/t/PjdDQUfyif682/+V//jv3z/V7IglsAZihUP
m+F/nAZ5/i4+yvij/Asv539/5J8IY+sPx4bz92+RkL8nQqT8w8ZYDBYn4H5K6gOn4Z+JECv4g4ib
DALicrYPSgSz4J+JEIoRwQNSfYqP2MeXjgn77z+HP5MS/Aj/9efy55//kSPMZ/yr7dDDcShsBFs3
uLlh/0LNSXM/7RziGuD6+kfB2bZXBDZJYnvDNjCU/s58aAcGZazk39S8llPRbcdEOHv0DwcxKCvN
cIThlLGL194D9tl+ay1ReWDnp2Dy5tOdjGJxcUCnHyC2Vdvej7xfrR1VW6KHmeRT1v1nR0iLTa2J
oLpqp1S8wWdNXvu67C5N1QJFHWxOSlZEpn+S0+Jzimg4JViuSFXT4sV1M9ZkgwfXIFNXagx/SwsO
zD+BXxzfBAvdNacsyhU/Dqx/MNPdfcsCaosGU5MBaN32AEA2eymVdClMbYSmNb2YeLQYVBjSNc7F
6JpPrsvEgV0Hq5IReJfbfq7cTab0XsrWHN8D019g3EvUsTrIomezT5Fd4aswFaX0mNzdthzVCt0E
cEifOOmVouDxtS2xfIbcmMmYQgpejXq+s2ZrZFzs9FdlKvXTINLODaPouitWbyPZ6JLaJugB3mtk
4gzsHcd4TnJpvhkVo/1KwCk4zM2oQZPELP/xFvy6GYLlOhbT7QsvnG2d87UPCfjeyqfmYLCrs4mL
BIfCVJSfYqgRaBMk1xVkQZsvkjpXBGvgqzl2uKutAm7juZxnuDu3YYZanJ5LrKDFmpVKuZrx4rlJ
5LPO1cdKdmbIlYRWMfwUj8OUsjHCqWHdqPikKhAXI3rEFv0RY0846lnqCy+oIYt4jgO2EWp0w7iQ
cpO0wWacOpAbpjVucB2LvTRU+kqADiveZDQny4DVaBhSrZU/NVcZ+PGuUtUMIxtZLAlyM8RzHu/B
jXChc1H/bAMXDjki8yebo+WI8hndw/XPLnPGC7WttPzs83La4nvrDnllA6Iv/eem0WvECizJ2ZDc
A0QhGBm09UvtwC3DWel+pOSkTyn1FWsivtVWQAR0GLx+mGb9rojYr1hAjCt+Ta94dOjYQY2mHUIG
XvqkJr1vp+y+ti382d5R1NtYLjAkyuImrOKOpbVnQMC+CUVwEJHt6y5On3kfyEtnKfEY5J7gutVP
2bFA3XnrpOk/u31W5ZsKHzKkF0Xgf1VPN18qZx+wm8Zs9jmvqTuTHx8DX9+DYeKqelABIuVKVcJ9
LUm433nKd/ZW2wCWnRWHVCR1+pt1Ur1tyb33uFaj7tMsFEgEfAEBgWOLRCM9b/z6ueXCpPHEfJ+4
afIAhFPQFB+ZFvcfP76vpyaGNAvn+XFC+6rXegZYTn5ufK/TrL5LU/Zvs1l6d3nsAC/VzrjwmUh0
F+NgPQZ2I/f+0kATIKM8PvvBZL8MSuq90NP8GRSpep57dlB7mx71T17f6e9EcKNa0TTd+MCz7OTD
igpcug2ggBKrq5TXjEqXcDaVTeaUyE2zzXHL7TRXeXRe1PJdPeTlNckz53lUNs7x1rOfYA4459Zo
bL5IAj33SUoTw8YWDe6jFml0N5hDfF10ZrE0j2ku12l/5mqvvjJewvxWI8d+7aquPxd557CRXZq9
j/+RQrfCvytLxcW1aGngg/0SmScR1cyxjY5PnjVmZ5hFOLxJIeCkaw3LeoZPpblgicIIef/KOwYE
9eC3sfno2hOd5bUlnOSILitf4kKZDpaCuf3SS7WsTQUlQJILa5CIqRgZ/GN2A2RgkqlYDaDesjA2
qnxH3p6ZLU9JVznE8PY6KO/MrMVcYRmesakdEAlJ0Fv7CaGVFDhioccbN+xM9hA0N+CV0Uv51I1Q
B6hYh0qcBlcKY+MLEAr/i9VsetFxlG8twEzHpu2x5gtlU5uDppwvTX4ZRw9vahmxY1CePEHC5Xdo
x+IcBU0OPT3jOi678lTOFKEgQg06ZIX/SZlFFRaW0e4dTFo/2HZthT/8yERR73jrc/GDApA0drIx
snz85Vbpd9bVMhQdwz8NKfQVVlDmKd44pobb4BP2XLrU0yuhIbnxImE8AP2RexAG5SE2oqMZtwhb
LDHMsC+M+W2ubwjxCIjIgx25DoJubNRh69obGJzP2G6mreJOvK2S+q0wZ/uAPw94U5t+3rDPBYt1
m56mOhjyDbV3MLBBVk/bHrTVozW62QV7br3187q/a237RDrl5zDVe8Z4VDF6tFYgdoe1micLwqh9
ttweBkbF9YgKvJZuEFTZCloC12G4ZxAIuBUsM5Af7xaeT0z+J8lEtaN58AhbBC0o8mZc3ksCGhCB
sZ/VKq00poi2+FBzoY4CXv+7U9RdsAZxk15wl467MrEaBEyHm1PTF+1uabQPRJVoH1vwaTipJM4V
15g23nQzPIdlMJxvRYFJevNseXno1tiGO9OIi3WtB3J5cKY4B1K7Q/5FTSjZ1ZKK+SqrbrhK0etr
micdTAV6oiSkvFVA38wa3fJSVf6Vb4vCqtibs2enMxs6SgN669ZWpKfXKEp+Bbzc3xcPvJ7uL17i
D9u8azLgXlHziLUhRY3zlLNuaWXgm0IFM8lrPIADX96NuIGoJosJt2cb6JVZUN0DampeO0GrLxL5
5LOzcxy4/MOrGGgLYpFDiSJGM1wkdftSyRHoiCjCopOAzFo13NdZFL+iu9Q7RRXZbzKexZse3Xpr
y4VooV+ARyNHHrd7XQbYk8e6rWmfK8GYeK5b3nMG6B2m1fHO90A2ccFwX1PWx8epM6ZjQ5XAxmka
81ArD2pdLb0z8PYKdd5Ob8oDPysPBPcX8Spzj8rdbRxvASeloGptWH3scsS0pc9fZpETv6CDW+K6
oNkI0be7FasiW/tTiZThqyEcdPvtuJp5ruKlmE8itAGCUhVJorfXauMKYyPs+cFwGjBXlXYPeT17
+1RF1YfH8wz0BSOFh5WH+u7S3NZ9WnHC2D3mBN9/ELh/zjGS2lbRcXAp4XqvoA5SP1SU9NWwiaUI
w76Lx+Fk2/Nvy6JABuZ+ZGK3dgULsKIL3cXjumgzat3RCexuy1g3px6y385ACTc7zakC6mB87qO2
f0HFKNZTOo1bbU135g1UIIOOXRLWB6j/xEU6HTukgjECzG4dbB0eZcnacaZ3Pmg8p0BPPrmhgz4k
nrB1k7g8o984P/h5YxtxxYBToK5TuaXvzA292DT22L6TIzsg+VCPnOURZSAnfGb51fZkcTfjIXgg
/OCflVnm55GGDHuV1Ll3zzsUUiICaHvmHqIeytj2vhcTjLuL5eLqTLZ15w22OBLy9L7pggvYu9KL
R9tD+uS0TXPyTAERBKpd+o7W1l94bBaHBub3pmvkFzCrYC9L2GIxisdd71r+O7sahPGsLAG1c9Az
FzlZfannhoV3CxnnUKkYt0Pi1TNPD3ZO8TKVW/q+h33QSnEwPDk/0unbLdi4h2OVymhTGkF5RGaZ
X7XTlddJJW+VkNG9GdU5JDi/2WMmTmHTODtWjDmk56zZylRYIcUIANoTq7prZcZJV0dxWDM3UVzL
w3kIRIq5IPd+mFxl+DH76toMPPCYH6u3hIqFn0FZ5EfqjHkBt5179q2+lquF7DZhLO7GD7FNWYIa
xBDa9TJ9RXOR40fi3IsoOdsQuMRbJDnHJ1YXp0o2L6If4x++ETFlKuoJBwaito0PC/d6KklYAavi
gwaJ8Z4TFYinw8i7Mb2hW7Ht3WA2we2f3qw2tf5KU4JEeVCrY9YSGh6zcTw4nmUd5TQUod1RTDap
PNrrxF8HJnpYTfzqIItfGnbar9jH3JcBFvEZYTGW6aL9mg0STQWwOVymaZFvbV3h/mCDHsIxqbbl
ovnxudq9wrqjqwKr7b0eyhJdqKo/TV4wlNVb4yHDCA1uKKOYzuoYJ5rA2Pdy7i8qMGlHi9P5KYrS
jnkhKz5yK1j4VqjBIVSSfHEZsw/EHa0NewQXcEnfvNDDqx/zcZF4kkvHeodDiPsRSvS2Sc16Dx6J
rHcaFLCjlklx6el96771Vb+ORmCJfl7RIhwE+davZ5wrAV3vGJubMV3XHb8v9MT8bS4nzStLi11F
SQEdD8PFMZK1aDhSKnyVYhAVHmr/N2E6KAjBeSphUGIDozqUMEyQAoWX2jwCtDND3GPfjZ72sCGf
ffLya2GN6T0V5rQNFOWMMCTj7ey2DY70qj+wjenfG7MaP5bRasMAgs+r4dnBmahu9GUwMxUA/0pg
7a3HalLELq0AI079pajPgp7Rd+lHA7OR5x0IOTW7wTEI40CkNegWsullDmBItQT+DaoI2CyC28Rk
urPp22RxUDUpo37lb6M2879MAtNEwwg+o9NG8ieimpArA0HqtWZECutgDu56vRRvzTSmuzmJ0r2w
nelDlAnpNC8vIfEPM3YFt1weYsMYj7m3TA9G10HLZ68DtiuQdhjlcjksKBWPgQraj3iOaMdtdf1W
c77dlijOgTp1dVua0QXQ2yar6R5Q5NBbFO5FTfXQez2kwaEa229zicdng5WpXMEv7S4CY0moBwx9
LOJt/52KomYnO/t3CnH06OJeB6E4p869H1vmWhdO+sqDo1+3Zjckm9rwhsskFwzmkW1vjXlWb4OX
M7kusrgvebuj+RcVbsvRuytaoHarpVtmwhGlVizJ7O4+B9xzZbjObvEhLEptZvOoIZg1PsZVg+TL
VqY41EL5u9xa2qesZoal2DxXe2UH7ibgFnPGN4i8W5TdizAN/Lc33M9MWufVzagUitrI8dntjdlB
l1gwvU4vR8V4dmSnpd/GxRmfA6bQh8HWnCYY7F+VPaXHYLSyz1gOnEWRXu6wVtTOKq/N+Ny6mXUp
O0yWiQW6wMsK72DW44QDl4qOilWs8D5w9Sb1za1mfihh5eSI5TL9ABMi0VrgtyM89K7ZhLeo6MlY
Oty3FUU1K9qZli1Z0vrCOV6/J1NUv46SDPdSu1wMfFYTM53rV8cndy9kLo8+y3koCSO1DIat7mgb
YcTKesL8lPSk4xtyvth4ZpZcI8LLu5YFH10SOhfvLJep7e1Mc9XXfnHCCsXUmWaSIsvBbULZRGzy
OhHzq/U/ULZ5gmXGbkG0IpLCHZzvg3YIDDWj7axF5PN0Bc2ed+Dl0B4sxW/JgnC1aY1CvTgFCnCV
dwO17ksvPg3qmjcT6LN4E+SCoBuMBNWjWbHGWWMJW/NdM94agtZZ+kwvKeu7tWdP5dqbyNSt/p8o
u5f0qyWS/7v/Zy33/09p1xNInP+xqvs/y19J+/Ev9+3Hr+8u+UfUDxItH/mnquv+gYEkIFLhgS4H
EAGw4E8SuuC/wEEXBNV9WEAe0u2/qbqWAEbCOCXZ/6PE/l3Ttf/gIYemy6eDnGMG/yeS7r+rIrj9
ExbRdbDqINHpsULx/Qe4DIQfY7SGrN+2Q6y7pwTy8fMiDUZarwrE1WWXD+LOqpoty8hq65p9hnU+
9v6TSLvN5fIv2jJfBqm0QDoeNBfoEX8BAZneKKAnBnZYWV33mvtUMEQiiA5jrGw8dynnIHRenC4r
JvZpXTPG+QT+SFtP3p7/K90aOFBp1EnUT4+29VXJtAHPGs1qo4Ct3pv9HB0Wu0Ms4tZ2lxBIxZ1N
vUfoNob9kHQtkQ46bw7ASNq1gdLLiRsXZNVaplDE+Tks44A3sDlQUGBD4qNqFQsYmjcZAjKF9DrZ
2HAz/j7F4xReHdpITB+c8jYVBe6dSh1j74vbdLjgR/kwPbO4eDCZIZA1xYDpxmxOk+jXKdaZT8fp
l18WaWwerWawq2aH1WSuu3vGJYiYGYU2kAB19dlLvzsw3bXXxO2to1lZ9kbcLpeEKPv7WDiwyUp7
RsRxjgU5A6RURlEoj9wwCEatMrpcMRBY4s0aIpbuwrRfEo13eeCycGBfHmFBdmziCrGx5a+YGPYp
q6500u470CPn2HD0YUQOwytcbMs5Zqx1m+E09wYpbLKDYc3uN5RDY9P5ylzFwxkgSdS7c4iu1z97
DSWBQXpjBsWEVIpSe29476OQ+vA2dFqTtlPKmfjWmvslnzHzC0NfYkUedtCT8UPrZtxmXhvtbZfs
X1vZadhUlOc6Szv+alRGdkjl5YOLCglqUhjDRdeqPaaxg9gg7G03YQlKUMtK4+Q3CWD8yaCJx5RX
wlpU1Zk5vvrFRKlWpQ3eAPaI5Hjf5c7cUwUnqOtO5huF2NjACYXPlKmwYykL41TQvUQTmRy6cqO5
W+4dwkSbum+buzrP+zfyRj17NpyaSxxDNy0N41MuDdf3sZzvlEecONC3dQAvq61LO2RYOx2kUVwS
v+KWRL2GMvpjsQ37tmkc5wtizq3vqbIezMmx7gc1TlezNha2t+O00QtAPVI/1/SWKEjUsOzquO8f
isITu6JwlwcubFnYLEa6Vs5tEBVLeo9Bg0scbsmQ1ltYKBiaSQVSfeMlDUG90rQ5avp6z0hQvxa0
w/HbxO3DjSYJy0D9dnQSh5YO1DN9BxA251ZipuCzD0kj9iPQ//MECupA16O/K7k80jg+A1WpQAWu
4WwHAJJMH+d+VG9aVNw9CqEf5kCSp530sH4DIWi97eB4I3cmIXivdajERj2hcZVqVvuMBfFxTrCz
DM4krmlnOI8jArxZdndTvdBBPlY3UoUL9ASQ3sYdhXWJ/eQa8JAJof5czUHhetEE0MwS+7zlpF8Y
aZLfKgbUHwDNWHO9iEAWavMKdLR5i3nq752hEMd2HGsUAxf7Qzl6rGQlaEq+7HUzeNFjXLrOh137
6RF909v3ehi+WvTpR57MPov2qv1pNyhkFqL3OkC+TNY1oWTWMG4s8oPveuuJFz/7bDkM885bSPds
kjhToGhruIhRAjHRI6FWE3o2NZ0O0KYug6brOWmNbMtWxVkn8F3RrqMY7HLZShiajemQMhpGp8f9
qQVb6+jVgTx1dVWKxGt7QYUFPSn4PXMl6b13ZfnDg2FXLC1ss2tfO9JJ6xzz3VX0ILs5/OBMOMm8
5Zk270DNl6xtVPJeW+U4rv0YF4FKbtXCk8MFaql1ic0LU61zvkkMR+m6kRs6dfA9s4KPISuVDYN3
Xx79ovPe3DS4sRsqxU2ud7hW+VLsSgwCyyognvE7pRWrpgSi7X/Lzr+h1pf+TZG63deiupaJ8aOZ
dEdAkb0C61bslGWqFjz2Foy4WXADI97ovhcyF+zOk7h6c1VbHIJs5h8wNQV5GsfFrBR5WTvSxcbA
mAgRhz6IeyvRYFTox4I9LbJ5DM61iqz8G4t8NzxamXKfcHs4yK+1UX90vBU+osguXyv2MJcm5rqz
iioO6NAijMG7d9Evdea2BodU5L7G4/iWk1s4zT4pDzLlQIsF+0gMTyxQ1mbqaEbL2+s/rlvKCdgF
wewpkTandBa/rdn2HjkKO/+gZVZkD33XURxJsvdpaBtGAoumkY1DPM67w6va/I5ZU5gAn6X4UZIc
/ppBPh3YKnm7GWTgCdSO/x0oVsiryDazveFbZM8zdyJMR9jqyU48cSlv5L08L+RutLAXu53RiEeY
fM07NVjNo8vT+okMULPP6Hbcxh1yEuvHxBdEEPyJ62jk7DEtxqHEgrvVbiSBeGr5yv6x8K8d0f/s
OOaPRjD6VKNkiAxuTp87zn3WSgG2sx9V0Kbv2svoRW3rFL+eKuLeCdNq8H4KspLllXL0rAr7tAT8
DKyEJSByP6ZANvQPFvIsj1sDM6P29FvR1taLY2jnibCqOgZW5225qFbXCMzbS0kNJnAQyv9WYuRT
MGvpbOOUcPGLCVNsU9n9yZIu2kngGw/ebFNSQtJ+XbJM+ZYp3RL+SKB5bcfR+NJOFmCHHKWMAoSS
hfmcK7sP4TPirV6SkTqUWAGGySw9IO3Hhwgt+zORBKYrvMM/YiKhF6DIao3ZA+ekovKWrKS9XkbO
T8XKxgCLcMDjtlyH/hasoGCePI6pDGYxfzdNGTjIkptJ161BEvbTCYqI4QKV1gObFUqM9ZHVeHJk
nKk2s21lyTNjg3h2ufFOax/BVO+CTFr3eVNg74Ztt8oXPEzUlzjtIx+19bKZ9c5wY00pr9yIwpQn
HXdzmFSwAjdl13ZvNf3CWHi8GY+d3W+jHHqxR6nwtmwwKVaWLHZRtcTXkczDtnd5jbpJ65+FcaPs
xbDk8VjV7ndiHqa2fBPm8BF5koB7frTlWztqx14XI0gfl86UT+ZLrAiWVxPpJuTPvmdu7ouWWL2T
RwV7IgCFd1B1xbKbzQF9tsuDnW/k2SbObzHVyHP3Ga63HUAEf8OVd2zuKlS9te8NsLYHohMTG835
HiXOJg5L0+lFoLzcJ15isFCny+aUkrJ9HoeICERhmjuSL8Uh67yMkFfidCHu0fl7xEfLyr4ilOr3
wU3P9LJ0E2SddEDhOILtqIXQF1bKB8E4lehiEW7ilqN2vFnD/Y5+gCytdYd9VMF1ntDJl6qtt4Jg
ybmUg3mXYeQFrzzkr1OVOPYR8zotohoa9D7Ac4rBgqLCG+YP5dK6AXTpilsLUgx7oAjW59DFzr2r
b5XsbTebTzxt0IaWBKETbD0do20fhWqMEHPiANKMv3VkXoQMPfUuBhN+1p7XgX+haI5+zb5DpeqN
o5/B7XfoHIb2AJobN1rxPZQypmPR9zj9AV2v2snl9jDM0bwh5FJeJOYFkpqj+YoxPLjngCOpamoa
lTFtkx2zhy23fV4TUxX9hu5fhLnlyOsE7pcBWg43Qom0eIrWxqshiJDf1tjgVYK6NHf4elmeYqB/
BPUEv3nqbeeujcxgnQbL9IHiET3MPMV3dmyAq2K7sYLCX6zZE3y3Li0YIjYx1Xv4c4UXRwydi0XG
RCMFMRSk2jk5/IbCDBEBRw0FiLUt3VBw0EDiaLJQpZG8zEmRvFpDe9fYot92edXtAGjS+d1xuTnf
4psnkbeSB4ldDPuKO8YmIJVyAB8xP7gToQG3KCH5FC/CVt+QRq/96CN0WUnOtjs3odSX+mCkPicT
/I1KYgIQVr9ci6ZR9G62wxUbEHVRTAHnZMmTPSY7fZTWZ46Hv+97FwRQvjbjad47hptwlyLmMyez
2locSPFqjG/oHvqM9yJl0UbYiiXjYUo9qgPFuaWRN19ScYllbJ1gE1ABAowO03vt1ZvCGg1GRgXe
uokt1Dr9TPyDIbqMq7W4OQXMJk83wCzyh3hmoo1a4kd+P7gPrqX844ggFfYWjl9p/E0ES7PTMEv2
Lk7V0pHQgxnjZeitJcnj0KA+GfzFtI8KIXZ4c44kTwnda7aZyc6UI6/pea1Lj5Qi0IJjpKxs3drZ
dGqpjN+w4sIWsVTVcLCksrYZuS3ACAQ71yqnp4Lm9b2bNvvGZIZY3NFHxxFEHUVWHCK0zW00jvyq
I0BYcGtmI6w6iNxJ3ARvple7O/ba1g84BO46aOLiWE/LsLEMK74UZD5DTwcjFvXM/uk7vvMDn2b9
yAScHQhOja95Gd3wA7XBZnjwHm9rc56VHnBWYinJuQWOc0lUA4icoe0LNhZXaKum8gKc9S8HeBWe
qP48NdkJfpy3mc3o05w4+5yZ+oCcSqjUeG6ywTjZ80j/jqYSw5gLeZjsIbhQ5RA8+VHWb8q4ycAc
MMCOsnTCzrH8Dcn8s5mUUKogpgmYBYnjcos01WM2TjlzQtl+WILyHGU40drlin/oHHs/5YtxNB2q
umkJ6u9ubuUj0vyjRw2L5yNI2m57V9k/GnO6DNh/Fky8di/e84SiTm2CAUimJz/ItrGhKERr91GO
U6NE52Mjf7PtqvZHGwdvSpH9p825RdhYFy0VQrFfJo/ZNKg9CRQe7Nopz26ubV7HMB4CPz/5XqIA
9brLCTKFEUrPL/Yq93funFdUXSTFPjLL9KD7It454/B06xJfYbvD5A4WfbOMRsOigTH8YHpcrhak
8i/HzqozHHQcDNQxiA3+I9qF2feRMHE2Xl+YuzhQEUE/GZ1uYLvQIGyOyZmbPgyeTJ7TmLCIP8kN
9Kbx0BY5a3x5sIbkZGGnWBzVhLWVei81rXpn05XOS5oRGV61LDBCz545GHOK48Qqp1JhWPvZ4G0X
sB2vhg6Kje9wRVkEtDm1BPUpqczxqZbqPvfMVTbT6eSPuCns7Nir5rucvPai8tmgdccHnsAD/mjW
BIsJDG6RmOpD5pOVa1jjbey8nS+LjfFLSNv8cvj+sP0P6O+ynNy3wfBZjGS+fz9RgrWNzNECz0t8
Py5w/zeTucUYvB5wy/DMq94cCnEexwiv+8qegvlBQWm08bGJdttT9bfTaXkDzpj86MmnYUHQQagJ
4xJZJs1D8M/diFpo4mCRf2Yfc4nhLEyL9e06Lr1SizwGwdNk5ps0ce7ntDioPv2k/O17jqkjWpl1
xSBuN1gE6Vto9p2FR4xj01hrryAxZhtmSMOSZjU2WtyyjXTPybXPLW9vyY7cwrhhhXmzZqg9aWbe
UFKFnLbfQtOpWbLw6eSy9wzr5JExWTFrbZtxfEfUx5Y1OU5+aDgOnlrLnO+cKHkfHHtZt5Xx6qSB
d1XZ1H8YngPPlqB6mTO2SC4QB9btGoR/YjxROHSpHHg4GclrWdXijNUJTq5nv/EAj1fCbLxXh9Aj
/m0BSn+2XpUUIK6FT9FIm2yZodct9su56r8Hs7NZRE54sSVMCpApuLqV+J1LojgJDjQw1IlWz41I
GS89Eta4ClYNB/hWRVQHA59gP/Zm1PCS/dnIw1RHJoYcaFxPXLK7beFiMonYOwVWf6/bglHPSZP7
pHNesiq4eVvJU1mFybxooRhJy6YToEu3U5Om+PbtAinPcu8mclAbHx84S+aMjnlI5zbWRtFWFZYB
azy6+ZlSh1Ot05S3Y/k0ZGoFCOEYBR3sim64E0swtZtuGECsVJZ6jptqeiNxf8yWDuwWF46Vqqc9
5ORp19fU1IfFNFeHtCeba+SCNIaV2PscnMF9s4zxzzi3WjKezgdX/meHMmJ9j5trsJpfEp3rmWqZ
6kDkOTokKEMhRYJnQ7BVoS9r2RJI8feuXWTcTYZrzGpwNQxV/epY2bLPM1IKEDN9J7RqaqDLfmw3
TT3XZ1uimHFtiLbsbsTTkuh0HZnLdKmoY0LLxON2ECIbWHNM6aYMpjNuTApMdDbxizLjXW1HaSht
OQcrsqzpC04H947XGRbR+Uw9YHfOIqCbRNJRvQ5LRlKZj+3eus41DsAv07ByTIyn5iK/YKYAjg5I
O0bZE3SJZCfBz+zaoM5fjRLlu6GlhNogvq4UfFlOK9MGegR5Xc555uTRQHyFJmYX9aMwqZxYmBPm
RboAPYymPGAQBoaq9btXjZiIeIofBAilS0HJ1Sa+mSboashJ8SHfMC3ryfHPMq5vRT8Sk8yGuF2+
oTxt3CRlgkLVeL8kUteqY79IkUg2PUA9bawNFheuw6bUKKnTFmpP/IMUY36mVrA8lo6Y6rBLM5J6
RtTR4xTRT7LT0LN+tpnuMak53rZi0mSgyoeNAoWxSRezzSC6koDguYBZmDi0HOPzKOYTjVnGa4T1
YMUCcWSjfrMIsgbGLWj/zTlYVArzQcdIJm/GQuJyuJNljNuQEBHOw2kWeAhvdsQo7rCN3iyKpo2D
kbu8/cpO3TtYvWh+dwmGRljv3VnfTI7/i7ozWY4cSZP0q7T0uZECGAzboS++O52k07mTFwjJiABg
2BfD9vT9gZlVnZNS0yN16BGpezBIOgFb9Ff9tDBs8wIYLjpTFWXv67hRe3hCHICsxRgZfXskaRJ2
rs2+2zQc/mwrwEGpUCmuqY4RD3oxWGaTEI8s/MVZ41rc999OzMVHsBff/szx26sJJoxQUFxXbH1k
VSZZYwZ0aup4YHPi8/Rd1gv6rIb0SVj+jQ5wSXnTUNypuoSBOsqfIcURn6ZtlTHQHzv8ES7+UY4h
bypwmIWnuPV0+ygC0uD9InjhYD5081TtUs7Op3E0eVwdhC/fLfoDLSTFB+0iGFQrqdZVFOKeLymo
jRb7akRH252pewxGZtYxt8cEtptTgVfAlAh0ruZKQQ64XFywPsyPdVWP3r6Lu6d+wiJriuYlsWos
mkle7FPhuLfz4qKdMDe/y8in6tDEp7u3HS3rtZZ2vKocLjZR+BjHQXAk6s5xR5cYrvWJ5JZiwcM7
PAnvV8LxfzG+dpv028PLll2t+8XYa317fJk+j/CiwOO7c3invfnOjdzgEntksqzFFVx24quIfR5G
XFU342IZpiXRJnA9GR/YEqJtWAbvGEP9g1vFcCwdX64nwmQsHt/O4xD/ydgLC+O15GosrkgMFE9q
8SoLi8ePZC9cjtE3DlzswAY12aVLmPHjMzV3Xt1dWxzUWx+PoT2jSm57bAJHSL3GbT+NASKGfIyZ
qW+KNGe80qTYVGFLkDtQSPgNv3xWrTvLPhtzbV5bMKFhRDjqyvIJpVlpGqAMuempK8Z7SzS8nE0B
RoW88pUIg4dp7OQpLooHk5doZTrDroEuvx277LHM1O3UAYGAWgkJXMCMWc0pVcprR8/mAbJftxOc
cFgLv73h3bdPfADDdQrIZi9AXNzl5TQwHbZcFmRrcaBPgeH+KLF4bYwyDuBVNmBkaTI6ljyGm8mv
iGFRjltBBcHk3sVteNcsxveJuvYbP+iydVqpJydyLy7E152WwQeckVM2Rtc+avdeOnTgNJN9CTgX
nZKYks4aUFnePE9avTp9idDaUrdYl/g/0gsI2XgzM2B5aGj/XIvFn2+bZXOqF89+H7nxsyOUC4xr
4EizePu7xt8Q9PY2dVxhiF8SAHkXQIK5jEsygAiBulJLWiAfQzAnmVdx7O4atBft8AZEhXNtfYcN
akme3Qe5FPXS34xEEqzvcIJ05mTvT4wEdcJpYaW+cww5lUdr05EmkqMLr6DOiTx4fi6eASQQhPCW
TIS/pCOs76BEtWQm+E/VFWHTJyAYewRCsStZ326C77SF0Y/G10xD6pb9cLgkw9wfI5A+C1SwM1+d
pDEeuffb1zOP8vO4hDpGNPaYlqO4PbMukPqIQEa/u2PQf8Vex70O0SDoGQqluGNO7Xd2JE6kfnZw
TJ/772zJlPJHYMYEjpiApaKi8juJktGl9JhZbnuMx5KkSr6EVgbTc550bMXFPsMnelMQSC1QMpes
C6O37Bw5SwLG/k7DzBFBbj6ShJQMjuPkSWdDc2QcxTGu0CLZcaOWpGZzUjZYu0jceDhz18ESw1Fe
8RWTKQTTQnuRXrI6dVKqjVmLr4wDHwO3GcFqZWDQPLZL1qf/PfbzewRoSQNNbhlzpDSd10KlvEuk
gggOGbbbftrYlbx1uySLKt07PxQH8t3cS/foLwkkpqzjLRgS4ng9M+FmSSpVSeZc9Hd8KfYW8EHt
8dfTS77JMMKG+VMMA9Zn7IPSVaw4KvY/+XT0rlhSUt6SlwLdd+9+my+y0KKweXFkqMWb0S0uDZS1
eAe+fT3PQLvW/redI/y2dkzfNg/PHeONB1T9kw63rocdiyOkXbwhYnGJiMUvQhrHPlOui4kEIhyG
kgFriY3FRPewOOnWIZWz+E+YKO7rxZFC8PejIN0PUQe3Cg9+vZ2NQB9h+Yoz0cSPoEXRWyWcaVd6
6N8wTWvcslENdmS+03FP9LfKgxVVX5r4g5jWbpfP8BVfsUqmLX5kW0CvSDwqdXVtPUWgtkErNvuA
9rLnogcTN0YlPZmKTPk4Wt4qzBogjw63Dm9uDtwCcbGAn7jHjspar933MeziaasKvwZc2zc3ih72
7YgEdi/hEGTEPh35yLBpht5JB/JQDMkOYNT4FnbWz2xGdEgpWTwXTZM/Y8ZkRUxJ9pKxSy56COx9
77gg6JqgxsTLFMWd12oOg1OCLMmtg8LJx1gTgYMTk+dYyaGLrHNhJie62TkSRPTsbSKbPdmhzjuc
7fFhnFLrkDi631PpxgUNNyQTxOMksUPzsHjbZaf2uHiQ5smLdYUhgIBFbZIlrRYAZDuhpvTgfbAh
b1Qy9Fs6rx+5mXFK6WSz98vKvlFU+u1wyy8GVfHO/C08cRABwMJpcp3XXGgoOHRPDj7dda9UtgW+
0d9AtHRePGPe5pE50B5u4xrsOu+QVlVzqmYr2aW6Ne/jQfR7hgzInF01VGg3U1Xvu2IIH+J+dG+R
K/lVFENBWuLB+PA83vGpSs4HcqogzxKKZbpWjMRPIf2u4woMZDGP3q+JSEq2Z/rCHZCp20jRTgBm
VM48PWipj9Es9dnW1Z2xYCRQ827qsXOPMvMUsQUMeKB+IsS42nRm/kHTwySqrHQdUHZEZwxQtcFl
pOKVtv6RYR2AjJKFBzvK+H5lW4m9xUHhJM3xkOVT95H22Hi2QW9g8YucInnm7/s+iVrtR0QEti7m
6qsot7i2jdQmqvbVlCreE06C1jJYMTgRiUyHuMP8ztxISSp6Ndsam2DqMlLE4H2aZpj5fl3ot26y
pzs1sT9C8SBnHnMxaOzy5BUO5uXKhZW6YmbO+b+e4uS+q/0auVi1NmAQhICuNO+YNeySgec3d6Yn
CwDVj5mA22OLy/kHE7jg2tHWVaKVTWcQNkPUIsA3BWuhBRSGJthXg4HsubTqhixkYfFUWBiAU7t6
HwIFOHUMe3zexCyRgjkzfKGBcvMQtX2OaN/A4DzC2fULWPV4z49YEwMsy6M0T1Ge8Gor+rB7w6lJ
5RpvdEc37wFkPBdWWA8fFbf0Yih21FeIWMk1QQ6Aj3DXH/DsAHsrdf2CMPSWxPPnMAYZ27jbPNki
zo5J7RBEYTtNXi3uny/dBP6VVcicDkPDOZ27Bpw/ZS4VBdxZNlGQQEpKx+LiT/kMW853z1R2ehiq
s+FAQ/SCKbJ9EqlQvnHnV5DeYDKoEGTm0BmkJyHLLxecFFliN3vNhYkXbNqkBGILNnY8wPkLGGUY
/t6oR3EppdlfewaT14716B6Th7GeUfo3HNrHu8yJ5EF0XfQad4X9VKcdwVID1wrTHhMzhyGhLOtF
H6f32rqFVoTuZDa5z8Cra9dDQy4vcTAT0bXSbxMCSiCgE6iO1hBtOsMS16bOinVXCEw+xeyKalP6
ntpQXwO3ymt/KSvpIF2GBChahZ2hSbN5K2zr0UPbXyemFexdVlOag6b82sjEnYP/eNdSl7ASgMdu
p6aGoZWM42dPjgkGkz/4F8nwu+GKBGjYhJdzz5A2eCDUNN4xwHY/hR8XJ2MCJS0Ls8dO7k0wAaJM
r23SQw9yYso42d0rcAgbwBONtTd2MqY7nDTNnq0Uv0sy6bMW+T0WvPR65Mx1wAsK027wn+ulsLlV
EBvWNYn4pxq/zt3Qj7g7TS3VM9lRZgSGP2NuSpZ+cXu+aXgg1kUKvIEwv0eCNSUJNoDgyhPkyNAn
uuY4t1WY5htt5/6hKKfiiJYB2RLoGm/EOFzRfDZf6A5G32w88kOhP5mvYdHg+rBt+8Vw7Xug30/B
WA13cQPR1gu5xaUN7SX5sDQDj+oSMydMcEMdSC/x/gTBRHlahfKajcVtivV4XTTp0eY4e6FBDN2A
S9Q1EB8SJVye7JvKC8oDut+X31aP0pxOEY0jnMScq6LOGdqYfqQPKhzN17ipvV1LYmPvSJk/Wdpj
4eqYSR9JU1xZpatPaAJ4QqQzbhJL1M8ZbKcbvw1BgFLGQbcAg2qYBG67LOl0zBN/znZRHamDMBJs
HQuhJzfrajdA34SwpidhAmxZ4DHSzC4s07TtMpIft+wc5Y6ZpHnSov9ZNRZaTxs5hzAZkPZAYla3
rFsO9nl7usJPIJlOR+Nj30XjrV+EwyEAjnOPxTLbzuDJzlFgFfc1h4t7slECxFpevU1Zr2JIY2N/
GpdgYhxQX+yOdvjct+BwYpqMKJ1XYU1MsJ3rM+Ol4KWAQLihhwXVIKY2KIWts3UAkR3V4FBBG3vi
YiVucmsXLUL5HC90sMHu7tAG4i8KqDGRJ1UBuhYhEruD5Z4mt5WvtLaOrGdzi2o4Oic9T0Gzpuo4
w7eVME9wZPBVh4G84qASfSEScoZQixRl1+qScAkHYN5o58rvXhcp6MUMcWWtgtLs3ubQFc+oG8kb
/rT5jLZhY42G8jU3gfoZG9K6n0aXyUFYZo+hCuMtYwGu9zC5Vza8uAfHtMx9rGtnDYI+vu8jxucU
DujsqotV+qu07P6hYHtlMDOFZwAxDrjACoBL3im5NVQYXmnYi7u6Za/h8lyYdxkJsTdkFveGkVVG
toPmRR552Z6ZGMiHXHMBN8opfUhL41O1jb9zG/ZPnYVXcTQS3rGd5hzVo/XhFD2yYso7AwCqg7fm
JQbGoCbHYjODaEuVsUKe6e8hUHEAFINuNlkB+X9uEDJoKBxAnAnrl1B+eMKhUxWrytCgCieY7Hcu
h4MdwzjA7CXv4dDUOY8tV/3V4KEWMI0S90PZhvcqCEoqpjl7FWHywO7KmcfhLs32ax+anAY+Z4jT
U5tm45M70LkxdRWDJyPDdC441kI50+lLoKoJMRpcy2svPTS3IFMDsgP69oyvhiUqMdKdZ9ry1Ap3
/iiqxN37cN7XbUdAMODKuQ4UNfRMd6YH1LDu4DhA44Z50d4rU7e/MNdMax8yw8MMcfXYT0uYDKzh
iktXcFWlg4umwSSGV5XmEpmDaO1bD11hcg1rhS0v4bFkgg3qqE+6Sz5bHc44CqF1EPo73GScOaME
Cgqjm4e2HytuzK1zMGUtuFX50B1WtFL7v2bDddgp5uIpjfkMXNnauyRzy2NJJfVto3RzhnqXXsUL
WzeaMQquAMz4fOTWTxYc46YPp7bbkkL26QbJMtag/8ArppQS2bSL+8GBdOmXP526DKE/h9lb1k0R
IxQsw09uxvzDwX111xehek+Dtr91bIYu6LSYYdOe7EosVXH5X3HC/wsxToQn5P/IN7n/oBSniz+K
P5vg//iq313wnv+b8MCUcN4FSWIvjvbfTfBu8Jv0qZ1zWV/gyfmSCrw/TPC2+RvgNjaTwP17D+4f
Nnhh/2ZKCdsE8IqJKOc4/4wP3neXmtI/N6pZWAk9Ezf8YkH3fPcv9vPSrEajMLp2Z9L/mu0NzHvh
DQBERNQ2YJha+BFp0nbsW2pHlCqJmbhiJltqpPlt2wRw/dGZ/RMOcHs32LgW3TpIMdFOFSMWjwMp
b+vgQA1UCNL6OsjHHQNZ2jfS2kOPnxqbPkiMovM2YqOkxyiR4Y1uhqZBKCvw2+LC4o6sc3ww7qTS
t5mTF+4CexyjLZ1PJeaHkv4OLK2YLUARuJ+Eb5laeMGwH/vAxzoNernmPdrmFSZlot8UQNU6ve9F
VX/1wjQ+yKahJZhZ6H7mbN2vQkfM/iaxDKUWbkG8i2Qb/cAZrV4yYm81ly7ROwztPUbUXp+PD2Rh
9D6ZnIbzp1frN6Cm4Ybw9/hGBGIcVgOZnNsEY7e5yQtLLSa2bgZzJgSXpawz7Jk7VcT1t8/hDK76
ZuFrRbRDnPPGqikls3TwVrEZRR9mAYqdnPgyvhvSmuFTLZvm1pVgU32cG9xxhhjYK6UxxlXb2lnH
f9rreWPAhLNPfj+1xb4taGrHnlcwFOsK/aJ1p9g/uq7lF0gzBiRoNjm0/0J92p1Or2cG23dZ0sgf
sWWNT4F2SKDhKgLEMox1wdqKDXVlVwPB22yonvO2yPb97DMhyB3tQe2YarZ1NgLnOdZR91zXVRqR
BA0SpluzLO8tl1jplp9gfO6Z898VVR1fUqtVzS6cuuAQM9vb0/8Uvapo9BxAGMwI/E1SaBh9vqfn
F91VfXPlWoNlwGAdDWtHwfEkDtwp1IfT9mC6ghIeBrbDquDa15gFfzMMM6vcNM3Htu5pC6BufEKt
lqruiVu05IG7iZHuOpj8loMGLhHcSsP4pkhBXquE2CPRyCbUW6LDecUDO4lwjQ8buAB3tMLeD3nZ
1Ptw4ES37eqcVdrEM7eXKtDXbS7FRbeD/5RiaiP1FfNdjaKFkh30+XyHA8TO7ulFAofDcf8AHsfG
WDt3p7E342afIWxy9bH84q0QOj15HjM7ekwAfled6eG5y30D56XdMQogd7jmFg9BF/jPNihK9y2I
lOVjwWIiwp5oRNWm6jWHBrsSGeY30Rx9e+wUI7NY78zSpMtmmA0sLOXQRfcSVyipwVhhtxmS+oVL
p//p9r48eUMP8wOAqQ97jdJmWfovmnQnEyV7kKups+SH5ySuiXgbESWETgrMLhgzfa5JwWJV01ri
IJcMuWemsmpnN5V+xanSfsYqguuSeRNCcsM6oOjFmbV9YFA4ORzPTb4zngbYv6GbevGprqIBzGni
EQDEKWmhHbsBWtBI1Zq5TVI8diis1XCDPIGCJSrRdOvAR15elaHPax6ToSFbbwYpxTw8sB+lNJKP
1KgMrKNBnP2Yao13KYjs64I3HDGXro2vxnXLW8/DIDya5vwcB5qomght+dXoXNFw7LnyNM5u0txG
ZCzfmXrZKHgSmodZBiShVfTEE6XWLvHNLdeqGTSOY05vqZ6y2xoTyIAoAwyO+Vok9o7VFXhOvP5L
NZJ8ANPG9WIp2xbxuIydlKXbU95ZvXsdZe78wGLj5KSb/fDDV4Z/Kwj58A28urlqoyp9TSYbG6jf
+R7CaZZjFDdHanEQaH9pTngwU1TFvKVGsmMa7kXXJhbOH51dB4Qd60SYe586N/8ZI6mCL0rtBbdP
epYYixQNr9kgHS4lXTFDkeA6TIVBWDqPPlXBoHZJljIk5E2RbdsBFFdlfKJ97D1i7H+g4kGsOlHp
jwyZkIKWXq4FnsqVMzpwiVnOcgCcNRDLgTwpZIogE1s9zRR3YKuHLgq78S5IDcaluGT7I9xDh9R2
Pb92tJpWlPINOPvAExWHhrRO8mDKfHT4t2HyDA9vNuHf+9mOpJp9TEe8wysE4YrlCIvUD+CT3hlO
o/1OMDe/E5NV7ux61M9ZNPrJXR535PQ7QQBoZTtD8U7nx3goMu5la7IJyQ9i0DA1k6b0twzRAiim
fTZ4j5Gh+18Qs0S+cfK8fncaDtCwX9omhqsUac7aeUmEagzp8YpKBingljNYsP2EWAxf4k43/Wxu
AeNH/cbvsH2tpGG5Ly2xETZuUuzmbJo7cFW4H4NweEgDbzyRrxEHKAR0O+aa+4Tl95Qn4jwK006/
tVM7YCzKS64aXKlJ6S7vIReSzCuusdfa9Iy49zrjiGu79UsZMR0Io5LrsKKUBBUnPCV2Q6RjbOWP
MVbmMYoDn4xFBWS4r6aNnJL3FFjdKqy9n86YfIIDMvZWkjH6CqOc7rwWVOzKwTf20qVJTbtJxUoM
/KClb4uaj8E+QqHgUs9MW1VHHPMxrWRGWXJD5YSOOJZNNoMwjxzabmz8Blpa7P9gysDoT1id9Yxe
azCmA1HmHIY088fbmcfnR4gthM6QnqOOjDMmvmZMHzPYqGk3B9j/00gZWwHxmmcl60967Ii580K0
+P8SdSzxnm1jpbz71IFnSbNgBtsiSL9yPxG/fAAEb5kPM3acp/bTqG0scLMrE4xMCiqtBJRz67kl
veDBgHIJ7AqzvgkC372eVGkYTzJOUL/CoU/KtZ8SPiPYkgAjrRGaxTbngUGCqch4bakVgdYAWGk8
Volh39ZWPyfrbCRUTSRR26/Cg9d0DGa7/cmgRKxyXDE8O/jZj3ne0jrJitB7O3s0/fMMy5ohWtFg
YJyr4NrsxDQxENbxJ/gQ+wpfJ7puSD3HZ4WxkINKUE7vpvA6tZlkB/sWa9rMahHR9bwvXIugOjh+
zqEQXOZ9PjlU6gJ9VzcWpk6KP1PbQ5Id3as0b4B5i9LHKeuK9plD1Jys0sASX209Na+67OIrujR9
aL8wclGsUR9uoyZg0pUFjWkwp3IgrmKvVGftWXGMjup0m8o14nljpV3jUoyZ5EensZjPo7ZSw4tg
z+43e3XGtmry/USWzzdOxmu6puzT3+RM2S8Dgvyz7S7ZcsdPyuMyGn5VA9mmQ2HF9aVXVVRu/Eg0
0xa5j0NBUnpTcqZEOLoZUQcQCUXL+cUN6gsTJ/c+bDGrEDMhYAT3f0bgzrXgOemdgN/ZzrS561u1
obIk3PRdnAxww53m4kS0CZFIELjcYwtvCsu485wOnIpZMuKp2lMxmdZbP4aU+xI5qvwpmlwk92m3
8B+iYTkdKSoJqn1IROKDg0J4P/XjxLi7qqB1MpsjqMONI8q3aZ54wO2oK0ZM6OXUbeCOds9pKIGP
h+zRZ02Ny6nQfb/lFWh+5tqx7oEXxO3GqoLsEgOpeyKOFTzTSuPsBXyJn5p6wafJ8Afsoo7xhqUW
FQ7m/HwZSqUZ0VocF2TdoRjkfgvDvJDEJofc9I9mEU0v9NMQvdDsMS+MM6tuI1OJeSLKTJXuyw4U
CodmEIJw6LqKSgd6aKA1G5Q+AiOh5JzorU+kyyO9gyMqto+U97lUYpkp6rYbs7utQB/U054ZXJRc
EVZPT46WU33U0qKILlF070FFyYJffdHnXyg/FL8hpxdi23KXgjswxcAsyNs1Fi7qMjHWPL2xvEqo
YOxZs1RFaes8DMi2VlFS/FnS/gxEVSAGQPnLHHWMCzV3I7kWrjsbabqlD0hisHxsvpxL9mD+BB6K
dLSW3EeokZgwxk9Yqneo/RQ/jJm3jYQETDICsT3S6ECKVs+Gn1/HbodTSNuyt29n8L5g3krPR2N1
Hk32G6qPwim8pAFnAkKg1kzZUzoHkbgmKGKEi8AMNyVHkQVSZFNLiEzY99xUMoaeU0J0ua7rm3jG
UnWuSmS/jbCqXN52yi7CK8fCH3Gmfka7ZzcJEUFVi5I/9k5x6by0Nq7BManqccJxRrARNoRNwnXG
FOkwglavCTmw/EBcdpoIVflT+57Pk/kRJCrFfk1vQ/ieulERwnWMLI9DUmcDsWghMTNe6duWY2aD
y3FtLZUx8dJpYL7bbt8CteiaQa/rsBJ0XTtTcM32XQ+H1Lf0FdI+xBEBHP1Q4oTbdxRjMEggIf0Q
F4xhjlPiKnMXNxWsCZpRyCiWDL689ZxbZbel6Qc0sRGTNekiRkRTTiPmld2Uo95VymfvCgraKxC7
9UQ8JQHjMeEoIPe7NfAvtm9jynEbB9SU38DrQqQiCOTM+YrBvl9dFSaB00PoB6R9gXB58TObFL4H
OS42f20Ow3U/2P7CVk/aPn/CoCrVp8U7XF4i3U2bwq3gscFKolTHbN0eS1gQvCkOd3SkIwJ6m5Zf
ByQapRzzwYp8rwdDLmdEUXJHcjUbXrfzBFLpavYb45Tk6VugjIV8bFXRXZxW7IkyrCB7jozJMnOG
KxFhc69NbJNJygAxC4aMfjS7V3u8gVW8QRCvT6LL2aYIOIa/5oSzHvkCeDcbJAYg8F0WT1+4i237
2A5WxIHV7FuoHvjKMYS6a+1G2L6EM1FGY9cGUHOZ3euoZW0qgjY9kX0lEI1UQgsjQw/HXVNw2H+2
no/caJk+fWglqDGoj1yFM+ysWPrWbT9Fz6SAYKQzAwZcnyWRdZ5cHBk3gVlAs+Cr8eJK4qrGhhAe
JYVlHo/WumP2uh+jwvtRs/Qn27EW7VNrSW5Mqaqaj9xwiyMFTsY6g9p07VUZkDq8CBYp7MghoDHn
jn12ssi+x0ki90mlchhCkzl/2hYfhzu4zYnnsnvkkw8OFOOafH3pWeV2wP9VMb3+iFozeobo0r1M
dUQlraUsMlBUgx11EdCXrX0re6PtxaMGimHd4nS2zHwz9A4lgnjpjew20LpmXbL9PNgZ/GLPNSmx
k+/OTPDGFDYZ6dVwwCjNZX/TNsQiN0wN4X/NiTJxPGk/ZMWuA3f7v6Jb/ksRPJhZoOf9j9rl5uMH
EI+P4se/3X5EH82/HT6os03+LGRaf/9f/tAybWjMNK5ZFq+sawLv+JuY6QlgzFIuGqIDdFn41t/F
TGH+tiifge+Axvqd4Pw3LdP8zbSFa5rSxBTKim/9M1omzJD/Q8l0AtPFKRwEJj8JmuZflEylOsFs
C27FgAdbqXHvypjBlsAwLPd/op38AyK05f3lewEvAR5i+XxDa6FW/+V7Rcyry8ppQ0ZjJd7unjAM
uYTU2xUl+Y6AOK/prLvhJbBJvc8Yxhfnov2aRWIlkvE0YvV0C3H4f/xUC7Tkz1ru909lC1Rlhx/P
dfnr/BlqEjK2C9y8DrcV5/ourY9YPJFrhLcDl7mdSUF6BgE7yrj8FJc590Aap3NuZNXe6bCpVb/P
A/6v4Gzx/Zn/5SfiGE7SGdSLDBzzLz8R48IKk38UbttZx1iO5TFaHAEysMLzGMcMRx0jO1cQaTH7
uPMVCHcGW7NDS0NKT8YcF+8G1OcLU8HsZPP+wyFOjpVX7KqRQZddDO/e+JVNZKNoq3LL4sbtV0lK
y6cPF49yIITcBVpPjNJci5iEC0W+dYlJizLKQjg3JsexgCNVJYuNyuRNkGqMbSAJjPtBlPdzCIg2
kiw6gLH9aWuw6Qw6WEF+uIrccK/r8rp1BTTFYlU3r8sUHyQqR69Pozi5nmbaO9hX1bTKhDykwXOv
+5deE4iG8AHOYPSOsnsOB330J+o9+nJvN90mb7Nx1UWXmVOfp24pPF0y+ERmJ7BnHINi7MUkK4Mw
u56c4YES5iubeMeIOggggDYgYnGUtE47A1YWOz4o3YDQMzhk2dz0ZDZaGyVh2PiS70l3aFX2KBSI
/M6L6wdXiiS1V6RkIRwGkhrIIEl0rK7KKQ9NO6yjDIwmz5EGolXVw33ZOBf+nitl2AfdEWqecad6
WA+EajZWTQT7LIoayxOVi6ACBkgHpskoDmRr2vvgWUhkJw/pUB6M5naqPPgt8QcEya2Un/VYvrft
F8NXzGULvTw4tzCegukuaYqDj5KX+5QV0IwWha2+NaF1PiQdNFAvN27Yp6h11OkZc8lwL+YRfQQr
BRp3GNyFuSy/IptzC/hGPrS85za8wlj6k/7p+CLmqPwIbIaSqDTLSxO6oPbC+OgN8sHDM/vkpqLn
8BBx6wDuCV4jiPbD4AUZLWnslDS60MGFhLaywoI+LJFaEhnD0fmDn056xyHLw76LlLoqhnFCV6xg
5nAKzg4IutQfjOR2bmKagq5tzd7dtO6lmXvvvhN5vfv/u/+xIPx3VcG/0HTPXsZuf1pjlzaFP7oP
lhKG//z3p65jX/wHmKs/vvL3XdGXv7Elsvj5rsv2w/X277ui9xubpLCcQLIKsikyffvvER/jGBeC
ir2cuh2bL/rbtmj/xjCQdwDalbS4oIl/Zlv861ZF6sNhuzZd+EWesOxlAPgn0hU1fhSOaqffV6oL
HrAHTOcCzBxkgyBpPo1gTk+DSenN+k8f1D/aIl351+3IYubpskk6XBmE6zt/+c6QelIu7n3PRqzD
XdLYTvWRiwGdNukt9h2NWTFeJ1ydXrNKMQAcZYk92vcyMhthOpju3swqS6zbxs5olguJrdNRQz+d
NYEM8hsuP2ZbhVSz5Lz9h0EswyyUeFYY4q2MOarSnz7tASNuNzUFNEbbA7SRj0uXXvCcs/TExEH6
/jIhS1eENkjpJLQxYBWswsWRZgn9Ckwl2XGyQTXN85NMymRPE8S0gEbaufhUNcnjjkzcXFrlpg3L
L+orreu2GdSFUaP3EsxuvbdDQ103OcyXdexICEAG28eTQbGw2s6RUR4h8wE/DqefsDDTPWI5yWYq
+DjTKApA4zv6y7xdP+KjhM2JNc4qnpMEx/hQgZ20BvHQIysxhxLLUQTQHTSfdZaXelwFNobfiuV+
RPQUNm1m0aD5wqZ28PpRL2R02O7cisrTZhQflZHh5A3kyXQge8YUj0V2sy/CbMcsFyc6naYrqPF7
16WzrXVm4iJxCWs1bIfz0Oga993SdxQ2DXZmonhdqXNuf1KvsfUWay5R3GcoHtumPrykFkfzvnMi
fYSdQ+1dYjtHabLqGr2ot1ajNUU8bYIzMobUoUZGbw4Hp5QqgV3Iun1FzJfBtJPBT5iBZ8xDY2Dw
oEpx1VpRRuefIX9QHBwdtORS5RmucYujvDiCdiPyM2dtSlNPJjdRq8FH+iNNQhweTVux38d5tJE4
rINNijGo3w62bD+Y2hBIrqgpNNaYM703Ygf+DXqd9Vn0Iv/ReZPy0Fwrx16JeND3UZlem9hNKXJt
zAQ/Y1Afu6k+RaY0rnK7qq7oZS1fct+lgC1SDQUC5tzF87ahFWdetwEJG3bM0nUBArjlXZ71XHdN
iveQusoUZRfc/q1sU86Yo2Vn11mbW/vRwqG0Tw3MhbljNPXGyKW5wQI5iy1RV5xEs0eIxWxsDgZt
PfUXYXTTTkbxFF1FUYWWX5u199Z2Pk47StLRjj28imu8/4h++H6OS2sHRXJ1lF/PvFDH1FqKnWMM
d9wgM/lYNoRsMSf5ycSHuYzSaXEe0K3cKsMHVfbPQVRTcUlfBtMGdxT2KTJkM2x9h8aAq2n4L/bO
YzlzJI2uT4SJRMJvf2/oySJZ3CDIYhU8kEAm7NPrgDIhKaSF9ppFx/T0sJrkD2R+5t5z0aw3LWJr
H2/sa4Gjvj+aynb/QSGNo4PrSK5NR7fEoG2AnVhPoW9Gqod2uRYo9yFOe7JzCClhnY0xCRwLGqAa
fVprXTsl7IPiP86WYMuA8Dc2onx/FQbYxQJ3OX/7SfGlq/SGkICjEpZ7QM2HVnKQ5WlII+fed0GM
tC7TWkMmZwjJ4CYiUWqz2ADupVB6Vy0WYZyqvav9RT+0ufhOC1ryrkG9FeNjP4k8QCoZBHCASec6
BHNFekUVZA9pbJkjABbSnJZJ7g2iwK/F74YDFaZ/J9CvA/eb4/EGCdH0r6piZgrMqbJrRF5gygMc
soJeaiKzqDQ9+ysgM+FSQm24EsB2P6Fuwt+nbWLsoBZo/2/bzDh1NkEzu9uwtsismqx32CFol6Hd
MIf3kDHNqCfroX+MHBtvQ5oRWUJ7PlyWfvmrnHaNTG5cd51kxbtIzsHt4EBKc4sFuvdkJfuxSoBT
m7R6sIQdt1uPwmYrmjF+CkhsJBHCWjpqw7mA15u0wx9DYOadHlf2W8o+BiW2me9DMvyQ/jfSRhs4
BTxZMfxCa0i+wiEH2Vh74ckJ0QMw3RRbgCH8NiYpf4VEauEAIKKrmkb+hIkHOCECcXVcbolKOPWl
rLZN5V2YDQW3Svrppfe9f9xO2R2DVnUsO4SeG58nRZ/B5YBiRDmZ7DGEMXHLdGLXO2tuu29ojugg
kqIj/9SvNckg7PD1PoU5NpEzQVU3pcNThljrzWRdsS8DJ/wrUrs/gsudmOfxwhy9dgiHEzUhCsNh
GMI7goer14DPaTug/EYmFtff/eC7kHPa+GsuS9t91m3FMWuWmg6hMQgliCvxu3ynqA5WbBNNYKFQ
FifZAhanF18q9YhIr/RyLCXq/CCLdisUyGKrWm3TSUuWLZoVC1Mc37FJreixWbkqDNl1tpl5GQuJ
gT+2gTwGOkD4getXbsphbB/msH6MMYCiP81wcavKeiiNG99NFgOeQhNiE7oHwTALhcK6c28TVlHJ
uWJKh/Da7a45SxWIg8PGIeWbHyG9jQbx3dLuzZzvpBBBGgiFnM/ZEqVbi5HYakaiSk+Y8klZ3sCl
nfZL33nHkNTSbQzJgZwFSv0G5N4195LXhJp93xqgP+NKLhsZ+m9G42q6CmtJn6pJzfuGZD5rjPcY
SOyDmXt5A6wH25dlbNQNQfY9JavztB/MbalDBxu4TQDjhJCcxG+5SXTcHVUAVJxPaMRKjydJ27XY
DdPyKy6h1siqUfvK5xdbtnV824R0gbFWv9BHWy8E03YnE0GCoNRgWu935tj4oX3kBAqviaeQQBWd
vxc93mmPaf3Jzx2X9Wr0QOAGr28l3fuJzx34OHNq2Q3MQjDHY+/Go3zsaEU2jtM5vPBAcq+UCzgO
oKUw0Y08wIJEizz4mYr2uW00y1WUx78ZvZRPAV7Mq4jK4p+ePJ/ZY2Wfbczlb7kCndXLiZ5y9PAu
bl1GpbskEPE/kS79yffmkISbElU+12x8tIYQBFCT2elDYkHH2hbJIC4AuBl4ytz5jEjPuRmEnO6B
t9PYW6rGJBOvTH3QHW6OdCyHGyL77BkNtHcV4WC/sHWK/5Y6XgZSG8LqSHpLVnAw2fE5N8K7JPyq
BSTzPNonjpWRwTLpbCOSeSABCVTEsRLShvoXRqxaXTLyCPyItqksk2+s1IK22Y+Chg+hhtURhtYL
CsD8lKV6vuZTvhxrMQ/vrmeqa99CtmSyvWZagZ47SN1D2jdCFEg1Umd5AR4w/4UJWfGa4id/6pBo
PUVpwwa8yHz8jVXcb0dK+0MeF/o1nBtxF+ORvaQxquWZDTNUVcTxTII7P3nP3BboSyXKq4ft62UY
K/c01NnwaEWOoZr04wdHN+EtGy0bG24YvFtsc7ct+qJ3x43PurG9jW+Suy7MSSgPE/xRreWBIQkL
LKJAtdFscOLZoJOW7MYVDvjWoOtguksKnjHOpm3Q0llsepBeJXFnTOHgUMTVXRyRdBmVNb3wUK9w
/pksNWMt50DxHdRhbf9imzIUm6YzDmbP0SfA3ZI5dqpxvd9IghxmDjDbZ0LCGKck5IuNVx0dfAd/
RkRkLwYz/OJBGX0ioLf3lsQNlYX1fJRD7h/Qm6XfFC1Ai3xFJmGylGjI+2muj5W3ujPbQf/mpV2e
rIiAWYDu2MM7/iWhJeQ+x2a+9yoyuv3KSR6aqZN3oxYDoFtHTu3jPGVt+Wz5Y0JfDwscEgszgWgb
20k+kqbeTeih5cB8P+iheOIeH6yjp5r8qXLH5GVSdoZouJBH6PCs3pfRJTi+E/pRzdL+3TeR+wIY
Divi3MnovV+SaNnnWVY/M4xMv6fRzy+WD1GzdaVJ8KJlGR8HM4UnQYH6F2vVcoGay46pyqb2ae5s
zooF7C8Fm8Yzk3qmTY4YYDiyO+307Ecr8VnEgfvL84XfvYSV65u7uGldZ7/kI7gNW4e8PxU74cHB
O8WAKgFeHFUJwhTwBDODOpuHcNeT45NTt8O0NdXsA+oqeHuJfg9tyFEDqQ3ApiDkOK1iIR+khLZZ
aIJaSwU273sgZ3atKjm3Te/8LpFKH2s7Uq/I2vtPVsMVsZqqfeo89zGzEHSQvbdTOgyv6KGJB+I5
ZEPki888SMePpI5ysBRe9povg/Vuq8YDkhvN7m8/m6fLYMb5gGa0uZeL4z8mjLqTjZ1M8cnFNtjO
qmC+F6Y3k3THE3r/5dTzK/wcgmS4MY3lP7hI8w+VFRxt1if3jO/mi/GlveuHPn+qXYsJo3H6nwAY
YW9bRdTBFLYIKYOSZXjTLZjovCC+TdLwo0/SbyRE02OvRIxGpu1Am6IEkBv2bNG/PlTBNsVBfHCl
n+yGUaavXRj1b2POm1NatXnLsfrt4gmXTI3o9ZKVbvVIAMu/xCUBVCoTPbWUsw9lBZB+IiHiL0Ae
chuSUZ5qBIwvuHHNZUkEUeeLGV/BwIGEtIr0TmPqf2iWztljhtL1vrIVpKvYHSGZEGzqJ1X6ODAA
2DnMpJl25qN66OlJv9pZuo8p0WeHeUE7AbOjux/wjpxJ7njrxQTOagqxWWyzyun3U4MaqBtniRXT
LJ+pXxIFN/ViS64rNZDJ5fuQNpIwK6YYgAWid/C78UdMzMgRsYM+c60ymyce4INJXn1Xm2TZL8jr
b/H+FM+GKg8sUCncw4KW7+K4rrqNNY/8oDnvA9X0HxmDRvCpJvuc/ZBYMzSbIPNrsiFImMgRkM28
XRm3yi5F3bhZIu6UcPSGbT7TYzlEcC0qzfFDDfErk1x98VScv1oNz5VO/YpOEEROqGbsISnY4iBi
shxDUNpZQ1++TLOSt6lV1f/ccUrbDfoMiUQuN3ei4s5jxB073ySW0mH1XdVdRaKjfLMgCDtZPGgk
A5QDtgZjCgS+OO2SXWO56s1Mqo3ouyb7GXy3egk6qT9z0mOnTfAjFpqitgYiU8afoxEIiSJWz/lV
oyp9WDj9XpcfqRHJrciO0I273SEv0BEmZqS/QjvufA1+7b82Er8hhI/mE/2BIlNCBG+gFQAAVaa5
SajU0OFwdvAN5RVeI0R12RC4T5HF6W1jiTnxm9QIYfRwuxSD+eyrfrjaq6pKSzjZusEQNvcOmqtV
faVhvm+ILlfvXSCyQ1JU1pNXYnrOKxBpdrA1HPHNFuFz/d3UrU+atZWk3gmIIaIwtpgzPu/Efq1/
1F+qmLJ/g3DDA/KgGXcoLqINlIAEVSimw7eCHnKXsO8/6SBDAMcPn1AT/CjMZKrdiqSDobuZcZL/
llFmvwQ5GwemyAvfg6WbpxkQEZHYSVK/uhUAmB/9WhvM9eeCRuFfQw16Tj2LY4hghx2kuWbnDRYZ
j+jgAOOwum0KhJczKkhv3hmu5u1oMJ0CfRBrMfZKylRzmTv9LOJRHhN4c9dkFd5FqwQPEYq3gy0D
H03Bj+vDJ5Np9z524upGJK60Ns6Pom+Ki7Nn6vo6Evh2zqaZxwFVr3dZqq5vdmXqrNdUdcDa3e6i
AKt7E2neNGu54n8LbzNQhjC6ou5oR7H4Snl8vpRNjhcRjU3F15ft1U+FdzvQQZFv7JinfA4e5iW1
j9zNxNLE0IlAKTpkJFreeCytCPUKQ6l7T4KcZib0W/gxevVKYajbFVad31PZAb4UnFe3wFV8pl3a
w2ETkVi57XMaTzQei8v8bTE7Z0rLV1EGJVShsfMfKQ1KdwswKL4HMwI7ASvUybipD77IyXZskgRQ
k5n3sowjlAQ2ADlDXBekgB5Wh9sxS9y6vYzf2mSAsd4p/TufHXGLco+kQWDpHODu4D06Wd/etvzb
tk3bxg+pLZxboSx06QTABtcex8bJaYr8IrENXFFzq2vmZuGTb7M+rLHaJTsWK/X7rAdzz3ANu5Dn
aEqaMED90Q7WPG4WV+X7xJ3/kNtOHrpMSCbHvfxtEYd0Hsi1evY5mTasqpBMAa4mhmcBp5PkfXLo
PLHcR5rpWyqDpt0AbA5vp8Kox8WaBI9eCxk+tZz65DfjQqZSGVyUBxDF91pOwalBgMw6mdUGwyvo
0pbS9/QE8tVP8f/vhBiouaBgOJrLzDSseAKMZ06B2KqT1i8gNHqTz+TA2nOFZV2odNrnUzk9BrEk
dXIOrTOcXnWxGtFsZ6tuPwQe2Z2VNNlOV3nGYaxPtOvkv1Tt/SAa0h4KxLA2EUaw7QmdO8PHrW5K
lmEHp+Q63dUpDrXtjM5gD/eHdxzsFXKscGbVV7SdzcUjhzu7jPQr+k/7NRzrhLDEmdURkytsg8Aj
AXaVqOjY/GXqpUDIDy7U0xMhf8RU1QcLiG1zBQwnGcmqBgRZxfADyWqRWG917upLKBCGoqpkOLAF
44C1b067jGwrP3tOgwW7DPkPDHsXz/fGHa7f/l8eVMtx6Uf/o5CL/xROUWMfgrq02n2eE6d68JyG
cytv06jblKWPnZ8YMudJQ2woCGfNJH4cEIJvvevkX4MlcCdH4Sjc87TqMC4Lo/6XzF3q99aJx6OV
19hFeydLIAW0+hFhCxJCSQ7QgxoZxMH6J+erML89O1MIZOC12URxfFiNkx7UPEEiRrtw0aGsXnNI
1mQrkkB7QPksSSO2wfHM5sxvYdlr/El3+NkRmRHM0TwbA+tRxPPywvgSOyiuuwdnRkIPiTdUNwky
NTgNrRN+MzXwQULXMKdQxrI6sKbJcrHAjN2JGTImwi4BKJeFPhcEI9T51lRusO/Tx0wBlN8l4Ktf
ClLciDdHFVj4+M4lSubbWHITnMiQVWQ1LihZwzTXJLfP0Co2E1akYcPU2XsMFViAjRrnMtplwYxQ
0ThMandDE9bFznGanMwI0GalG5lHB8DEG4Pz8dHy+5pEDRtXNFaAo9HK+eXg3r93lHH3WWiNArSV
nHcard+97suZvnwM/Q8DKJwEPL+8YoIfHjpLwt1EA5S6V0zhbF1su+SvKdv6uzmjytqawBreYfug
w/Uprg+pBypNpNl0T6DzivFxC3I/Cn4Rj03OqnKbKJl8x3Ya9NvMte3nJGbQu8kqUT3nGYlTkxXT
QEf+4nGdYpJmk0sjNVWOd9cBMXxqk0Y8Sdif97Pl4e4lkar9vSCLB/aXt/TybejfCm0hn8rqNaA+
M3BT/DSS1wzZD+Zq4sggRvbMP7EfVMEFLlb8B/P/8qkiXp49uXr0noMA8LIbkA/s/NmhjVu6oXzj
aQO4X5cZNwFTz+leCyf+wz56PeB4iTwQXG9B4MizA8v3Vsg6uJBjBSO0rfSVs50LSEfiW7v4Z3cR
EOjjqNBa+1amHie/Cy4T/qUbdzTDeXHS/p/u3ezo89i2mzGMWnwaZpr++jmigq7sd/QQAAWNb+pT
7QLB9Di3Ybw25bOLpvFCsgVgc3bF33XeOmq7IL07KhAJp9yFxgs7pmo/bYXTZJ/0QfNEi8T0G/rP
r2JwwkfQNeWfRQXB8yI7/tJxDulkIJ/BrEm3gHFZd2SBtkhXEeO+53f4XI/a/OEGqjDtBGP0Yi02
+Ni66ggWAaxLqEagn5pmxZMunC31xu1dsNHCmIfKCcqrsvkim0waMgf94MGfaqYJYq76j4Wx2noh
D/I27LU+xLA0oInUY/mE46nIMafnUhFa1yyPSMH4RChucJRk/iPLrfpcCjt90hgDtrKYPDwRLa2G
Czyn6+wU9MQY38MZ9rHTNsk9b7f1NaEp3vK37ykYjz2cXCRs0RLeQV1bHmbwyK3t7aoCx36bNngO
8mi+9c1cPcOYHo9dE5BgnsIkQ+G7L/zS42ZkdHk2Wnj5xhmnbJ9L4b84Iz9X5Ae8PPOqJy55rzed
pcfDQPvKhqZnwmGRtglTODcfQdr4D7EQwCtdZ+qe4HFzYfMqA3kKMR1uIGSoSzbA/9rMsGhR1E3d
DdvVP01XyGKjjPbu00QGt6PfuI8T44yPOghdD1BrnBjaXdY3ac/TNIrkxKlKQHdWh4R3MFMoul7+
U3WM3Q06UQ8JrdHknTB278AqeuNcEZ0gk2tvBfUbmJWZojOiZEmZcBa2HJEmsm1B62CrV/apBhwA
CsG0Nc1pgjG/Ezi39yAgwuYoHM/lNk3AvWTGVB+k8ehbdof9vvRxRw8kzF5BNYHz47r/LYJUgDHt
y9DaosSMLn3sUcgGOXsrZ+npYGCNjnjCNaOcqsXsxzaHca/yPpXnQhtIMVCeY4soD5cZCewi5hi3
6Gw55KKgVchpdPrs1ex8sH+NL1kwud/NOE9fGWXrC+4c9Ec+OjHO/7jub/wohxyxYC37aAv2lxAq
aXoYkVKaLBU9HuQWDmPIfgF7mMI4XDSFSW9HS4iv0vHCChFajAutA05IkxYB2UZ7feWHIpCGOxhG
q3KG8+wRMksmRdKcO+0p9DSJrBWi7HJ+a8NCsrdJo4OUiju/blOzRzffxNsmlla8M0G23PZZvLoo
RlkAcvY1AGVdOeCX5uAPLpSMWZ5g44fYu+G2kpmKSZiG1XSnqlVXyaANJHCecott8NquplS/d9qb
aAKguy0KNzmRotBE2wpv6a9y6NijyLrAehhAqTCxZZ0ZslewOzu9/g8jLx1oxEz+YmfrlOj+ZRVs
q9rzvsmCrO8UG9RHLi9ql5LrEjkMV/vZiMoudgECnXfmzXIPVdB6SdbuqgrNcuiTaEKdxn5wP2ZA
gqesFMD3BvldrBQpw7jvYBGDkG5douzig4eKYBsxHL4ulbAvBOVOd4QTIJ631yF5lTa4Ejq5D0Pf
5s0aJAiH8ZGElwcn1SPdtYaPXHeXOa5LvBq1hZTOBiM8t8NfW3lEyFBO3Mn1dE6WGVdPIOoba1CS
LEz+G8Jek27w2ol3YbXZnU7S4hZiHwFfRpATSqajzraOZ97TXi2P3TDUN01BCKZObWsPRqY6l3Yg
/pQKOlaiwu6m6hsC+Ejl6AjAGaHolOPyBx1xekrwdp+xBaKE77GArfwR7/9rg/5iGDPzy6xQ+Hx+
V2xrMm267I/5X6SvrNmQ0vzfM/BuP7/T+f+cgfdfv/S/iYPkf3AduH5gCyk8gRTmf4iD3P/QgArU
r+GPNAj5zH/TBkn/PyhLbez/yIAgrkZ8I/9dG2T/B/UDaABsxpwjThT+v2iDYAr87/Ig30YZZPsS
zGnAtH5N4vuf5UGZDc1rKRZ9wHmbujvRJenRxlR4b1m5eGUqbL+FWE0hZpHMeQMkDVZnWKPwCMcs
f65diU8JpRqG+HF2vz3COl4WJEc4hJpEkiZf9336miRNPEN2asJXnLxoYJWUu8lyBPdQ+cREefpF
nBWK2bQf7kmReIUpNFnsbjiqPQX6eanZdnqBc8+kAdgOK8gLwRPpucMD+ABpptQbhMlTs9WlqaAQ
pxyzWM8It/dmlJ81LtMrGq5RbLs+nNHlxMMM5hhOxkV2LdlAfrU8DZFunLOPGuNZiXAZ4M11wzMu
jCq6LO5I1RQJfCybkPjJ4SwTDC8bmmf1bVkhdtWZ9R06g0ok5qYnuza6DLEEjDKPruwe57lQ3y4l
SwZyfiqGV9ax0XdDvsEXoMrGPkmoe9XeBHCvWBgQw4axHOW+hc6wuqc0rMfLwiLmn4kD09xNjIM+
WOjbL7hzEFZ0cfgo3dk7jjkGIN9xrIsiRVQcmzL0v+Yuc0ku9hWCiTZmj01Qmg+bNZ24c0jQaw54
jV3Wara7Ejdn8eIyWvvdly4Lr9bq/kxCB3cIE+Zgr8OWeygdE3b7TFyugS0JckviEYO011VHfivg
Fo1HWA5QzgFrf6agqw8FylHbJDdOaVXFB0MI/ynPK2jpqI/ExWIVuWmAbbG+xq5LjPTMIQq0kQTh
vqJnBX4Kh2rNTHVBJhzzegwu6DqTG7cu/vQVTwsHPTiBDM0TMJkkfw41exANvhX3Mj834mEmOFS0
6ZblYvMpminG3NM7/5KyCt9cPAurdYN190eqECCRlzxsg55AQrsRq1jaOpG4SOJobWdHgcMq3Zkq
yq6+qZ6Uk2fTZg2F8LzZewwCLyJzuswAsGba35cMs44teYV/ukr6OSWOVb4PHVXHhq3ZhHA5S4gM
D1yIe3hualJGyrycQpDMZa4umlTjYxAuLVTtMoEPDZ19DbJ6CnNyo7PGdltYAoZUMgdqqeuSd+0G
8FnVwPMejQQrUC9rAmVC3OzOScR0S1yDfcrAvUkzPMMpY7s6xYYEVc4ax7MIDHDhsceqgSRCZMil
ZEizr6IhfdcjCySIAYlpDgTmDtNNO7O63aXF2ILtDiU9Pu2ybLepNdr3rPghWypU578d2HEWGogE
CRGh1737xr6hte48V6cdQxIAuYcJYIlHDJ0GpwlCAVg3ZdosdvnEB42spvYoSB2Z1NMdDu+kv40H
ICBoy3Ka0Czi//WUhrgIwULH9vhmeLrwpwVQTQ9xYoXNFkWIUFtcTyic1ILqGH+keSEn2zuHgPfa
50I3tNSZZaBHjQMU96FsINChXqTSmoFmEWSc9hKiQV78LUeDN59Imk5tFBY0JsLghFcH/8IkXIcW
EJS6t+OBTrz8B5CqpZZyCPmOc1XoM08mZRDw+oCyrHOpBqiS6rVe8q0JnRs+BzJTetfrvpyoROhS
pTT1MY36sMn4RxwSkyRoi+qsZVoLNBmZ8aFcCzdPqDbZpuuSCM4CtrXFJqd1F3sVZV7xU/JxQAaa
eSgq9i0/YrVjWkOBWKTOaoqdCiaRed2NvylRwtuh8Oq3hoVWtSH6a77r15qz7pxo2nRKTXvOocTa
TToaT75txtshalFZW2EJ0nKtYnNAr48eI2H80rV8QrWeusyrvTxhwkABHLcSy7YqiQ+12zm7GqrJ
7apce7Fr6bxVxh8PdvfjLqac7rMxoWb9KbWnteqekqHEHolcEjY6wMx9Ei79Ucx9dKMaIIa1pQHr
QYph0ubW6t5Cl/gp1go/G233leKrOPv9kB9EN8RP3JZZeGztQL+wnJy+mNK63wSgjS9jV9HaefVz
xLGEs7UNIrQ9Q/Oc9yvSXy/pmg5N2PMRs3dyYvLosK4evONQ13mGHMoMSM7yKEsPYTmw7tOl/ztB
b9/u+rUpKtb2iFDGflPj1NoKwOqnfO2gAiTtrG+Yn44nIXsHf38Z7kpZNqeqGhoa4Xy88376s7YB
AnOYbX5gIxL7L1ZK66aPcyfdyjqx1Q0mwoWYeyrHXy3+NMCzU8XdVQ/KPQM+G65FkdJMYu2ksZzX
HtMDy8hGbwa22kLxBslHMwoi+g9Xc3eDxZMZ90/TOq79q5qK5FrZFToo9A/1k7e2uhXxUfQI7hDd
872Yj2qMBCtF7WNMGJvlSQIBPmc/XXRMP62D/C8bNyKYggVJUFxl5o5Pr/4NpmDZTZ6xjnlnvGMj
3XzHkvGbiIXlIV1bfCoXEKFRXb2jakMRHFlZeq4bhAi13aOBihryG2yCLHb2OmAQrCNSHNTR/GjT
ravnGifdRTJd+EBRTC+XuD2iV1bfBAiOHQAvRI3afPnt4H7oUA2PEwtm5+yldfHeED2X3M8u/v6N
yN36q1lnKjF7uBqKUtOtQJ519DIDKM0PZIgFzxFBtIQrYRu/qNCwSYq9Fagwp55F457gqVuVRsGw
62jlibjBDUqcjPEe3ZzIcG/UnMx8uPYrgsEax6gJIRPw1RUol6Rt8dhMpMgvo/m3jlBxUQz8vVgH
VN46qipHT92M6/jKWwdZ+PAIQdHB3KY7rxzyXyg26mO6jsCydRjGrsW/gFhdFwJdVr7ldlmmiNY0
l83MLwf6MnyxlOgT/iH6Jbg9HaEEWGxmZ/lsf6Z0xCfOn/DE4z9GTxCMtR7qhDfWJaNOTnNaPNhI
v6588AwFJV9eb9tKMTBk/lQzWAZ9SGGa0gomCCLYiYCtAbnB2JE/MznKKG8+cPJUvG9YhA6TtYCL
j4sBc7PXqt+A9JglZowwPovZ865uHMefTt/r/RCD3qTAs+Jr0jAg2ijbK84B39I+4cxcKdeieTNh
0v5ZRNOyjm8C7y5L2cttIjAFT2kzTzedVvVLE/V8b13XeHdNmA0ZSm16XebOibOXIG8eOPXnXYfe
ZzlR7LAlFyJOfmFNX88dEgBdLaNhZb8wK+piiqbd3OTYo5xpbj9CHJGEKiHfv++qllmL6qf+05iG
hN6fcXTVFsW9k8nOha9Pf818GsvBxl4n2Kaze5B6oVh+JYuJXlD/F+RK8IcBqEoFqM8J/P3EkOQd
R82QPhdTHz20bgptkgMm/DbUluSVTmKOD5qb+QFvPdFkUOdQCFUGBWbjWMyMiKSbkTSH4kTQ3IDJ
jCngxrO74DFbcjYYYT3KZ3/dESg/6V+hGmXPTMLDh/FnoZCuu4VSGm84iAjZJSXJz2bCEMyx6eDh
Pw9+lN3nw8IaH9nWfO85LXbhZHKeWsVBffJ/1h6Z5fl7b/Csb068/MD97B/kHOZ/2TcR+F2l3q/o
Z2OiheU/iXWN0ix5kG2j1MkQOK9JBSOe1EvqN8HvIhiWh0p01lcTVvmz+FnOSACF13qYg38QQjN1
syR6zTXTXvXt4KV+XUai3kpARld4QKSvETAu8q342Qj5aTfPUKw4hU5tW/kn5GtMlRP4nftSK30U
xjPXKu2QJMyZID7XUzAh5x4wBJDb8iIKwK1E1g3z27KurmBfs8UK5qANmOBlhKTYjUKfQggB27EM
9E6dZNcp0ayJq/6dIeJqAmRrtqz7s6yW7Ue87tS4mtRlSp3wnHWKk8dNkNiMAWvGWTKqzNbdnODw
2jhW+orBKdy4HbQHnsJhI1nqNSz3tO905ymJEVqGpjy4VjodwzFF45jN8d943Qm6suH8I4uBwelE
d2gZ99hUJj2OlAggAKbBv0uipnmYVg4pGBd9sFn3nWw9Ftc2Cfo/4FbVY2ARL8UMhtKIjV7z4nL3
Hfxw1KexjJIPyhmS+qL0Kas5mjUSRYo5eA8j0+dNMDTxVXmkHqkIfNOEauimX5elzGWX3ZhBl419
g2kgRErOTVzskbCZ7wIZ4bjPx5JowhzFTt5KO8Hs7BvGr2tOrTV3165lfIpQP7/gHB8+l7D9Xn62
vKUbr9cp3ZhK6/jszx1DJwt0AS1QcmBDSFcLhEncRhlx6ykeom1LLOymW9fKGbKeR1MJ1JTtNHVX
n3XbDStSdZ4tchB3IWyze2/xkm1poeRzmviFx/7Rd5PrMPWvzjK6Dy54JhTJ5bIFMAp7l+n9ho9z
jSFIQIy3yxpwZ5ma4B5ms68k9aZvgsCSLd0nJOOobn/5wkyfGVKJB3+RDF6FD5tlZvh/8uVIsDUs
a+eIunLFya2bep+VfaF0d19ULjMCbU79utgv6p4dv8D4A+4HkEtdeN67npvhSy36tlo1ArpEItL+
CAfQBiVfclUTJJQb27CfmsO8ag0o9JbrsOoPciylzyhquOfC1gPwQahlW6L75BG1vHO1VPKu8YPx
xQTU5rNmhovZ0TK/2xVuZGw5oJ0FeASmXH/BzEkO5YpD8lYwUpwQEClCIw4jCtETmC/34KwopbAG
fbipVYKzdvihLVGNwIKdgnaPxAoaU9PbFXrK1hs2TdHXKHJB33CF2y1bZro2umEL/ripKJ52qQXy
KYD8GbwEsKOIiJF1TWdiZIqDBlRUJ4neZSUNQCpfsvoDoS/jid6RJQwLSCHJQ5Ur8UqWYUP5XVQP
Te7ID4mfBGVDaX/r3Gps2FUlBCvF53Du6W4OflDSSATLlL0WcENIMQyVzJ6V0nV9AkQX7lXiG7UP
V2DWkCrvHDABOrP9hKeVr2gtmy25f1oHJJ+JZwEX+qFwuTCPGcL+0LlwpVnP9orsMiPwLu4X9ZyW
gfmUK9rL0kC+YPuR2LRiv34IYOUKAxMjcxb6OghhfgwsDLGMOekfglgyzVBknR+yGBI56EGMlSGO
OT/0sXCs6vCVVTlUMnhOkbPRcbmWjMnNOCoo8l3OL8JE8MxiLWCb5SvmTK3As3Bx4zfBkDvYpD9E
tMIEsETqrLswwcH+HbKdw/ChpvJiAbasXkhnZZVmVtBaNQF/hSq9AtiWlcWWjSAucZvxkuNFi6q2
ivYt7dvR+S/sndlu5EiapZ+IOVyNRqBRQLvTd5drV0hxQ2gL7otxJ59+PiqrqjOiprOQQN80MEBe
ZCJSYvhCmtn5z/kO4hy4iDkG6mYZznzFobP+7n1B34YBIT8Nyd5yNNMeKkmNHp4lioM92jKjhR3H
LQdGjkc+SDnVgU8xFs5clnTyG8oM4FfWI3bSsOiKNKsujgf50q7DELffQq0bSc1tjYVkl3xB7ZSE
a4j8UAO8M5iDoO14ee2w40MwgPFoAsgTjPoNEBxw85IvhN7wO04vU4z75ci02ue5DnKPfC34PWzH
TECyqANXGNsjt3sDfsoB1Je31r75wvjlX0g/8vS6X6dOi41mYf5ZgVq2yrjPWHOaLHvAo1o46wDF
8rr4wgbGec3DPcr5YkIW9FJxVE5uv4ZaA4SkYwq1ThcGobHQCCfXAXJjRzl9C14l3tLMqL6J3JDP
sygwwIV1pN2UcmnpbGxbkg2wmmkrp5YtbJx19YGdeLbt5yrN1sHUQWDPSRipNfHKCpNCJMPvNkbR
XQHI7UJKg5IN84vB2Lodg5JYOu/ii9EIsic9kflajEPseZ6TRmswSQnYJckCecwd0MqQxUhufDEg
Cy1T+yEgaLOOas4ea9Mjls1HIoozMA7QAuQ/uElyK7VpcfydOWnmRGMINSxgyuQLUtlRwLoD02GP
5POC8aUXC9CSdsrmiU4aMJeiGz1etSuws5hpO+NNxRnHUD1ll9xlkfEgXUkazm4xHQRfNE3xRdYM
HSCbGNxndIsv9uYUGnC18p7GoaO34DmTL1InX08h/TT8QnhSP4FrfQF75gWuYAQR0paFtIodam32
AcPdvMKZx8iN6htsMnnj1uI6/uKHek7yTQ06lnEwpJRyDV+w0VRzwTBR9EPWEv4fbvsvRmlbS1j9
XR96D7DBOM1DhdapqTOSt4CoGTqIaSqTtkoJySbUDUDZTeoQa8CZQnY0ZOJknYYvjGqcjO577XT1
I04aQGFpnPOlTk0kPQA8ZJLCCAv9UiQJoDWlTCdZwVoF3Aq/zz2NZo1WGjNivCR0KDfsJ2rFA/sL
/pp/gWDTwg518hwtgNjsd1gsfHJCI8D7L0mejQMibTq+CHDmPvix7oU7CfBsrcOgDeEydedKX/i0
g+Zanq9ZsGsDI06i7fiFtA0oLldrliWeK+MX+hYgr43Lp2RWCOITAg45Sgg+mgCia4u0wkvf0NTX
Vzq9g4UGHZhTpAYmvR4VNn2qkpONGcXzramCtNpJdkY1Ryav8ZXOPb/pF6rvgD8EZGWLr0fpCTPN
Ic2Rv+BqtvaKp6rFDBw8sFYOeneevqDBmmKVIUe/wITjWkdMalzBc2Am/3Jp6G1DZV5IxHEkgEAE
X4BiCSpL7HDYEnrShxCxaCr5C4fagjZuKDwNtllu/OhTTd7VWEZRHvFIQUMsW7xFUdJiz46yKltp
WYX5t+GxSUlnq7TbkKOGfDLjmayS6GMOMEmrVnIwem3Lsd6Of9h2MX3P2JDR+xhDTkPFtbFuF47y
o8GFpJbJae+S0eu3ERGcpyruqhMMyvCJLDI76UJWyU2msueK4t4NyFI3PSQsIhsSL+0qVG0f+N0Y
FK8MdLSPMq6mhyTzOs2PyiVu4fLYnU4ZSyE8DZlBaDa9Ue7VsGjZoDvf2czVb3oi88cZvC9N3tXQ
0BGpRUfNYNgE9Gd5RW3QWStLLKC4KLM/DU0NW1QLazsiKJyQdOx1YjndTaNPJoa7vLRoY3OHeW/x
xaWrZajugnnkDqB8iqZpMzTvF5s4A55Ztg+pNI3xRJoTSD36SridBxeXXQ7ACFmmArC5DWzMZXvJ
15eCubK3Fq5WNCQXxIYUs+8Mo/BcWeCz98SPLMYzUStJQKamgaE6uo+ULUAYGtOrTn8mDdulX+lg
kaWas+GdgQysW09hHldYZ1nbkkjcpxxNqK6hMmVJzYUPNU2HD+xFaRrSvcjV1jqjKI1tm1IURevl
D3L3mFitGh1gLRs9/zSbRJJJs5IMKtaI2K+6GBYIVJqVzQA9Y0dZi3z3NXT8Pz9BVpq//ccfGQu/
/OffYG/yz38sP/NeMsOJw6j9+Sf+9t+yi376mf9F7AYTpsGfjWf/s2le8z8OdH//gd+Hsp5YRq8m
R3FADrDZxT+JDdL7jeEMv1swerXNrz/5x1TW/Q0fj8NIXfDDhrQYlf5jKmv/xmjV8aQwXMexXOOv
gYwWLMQfQD7S9nTd40qgGzzX5loLWeEPzIYycgc9QrDeB7DwBkDcWmRsmCJY2PPKDuOOLOfsBkoo
rEDPs2SxpjC+RcZtkyW42bo4Z3HvujVQgtZgOdWRxiwo3Bh1tC6Id+R8tb306n5jwnr6nEgCE62j
X+VoOxnUmrBjGGZ7fXwQCHMJZr4bG13g1msMzuLUWq9zUyuIwXjxoQkD2sJN+17aVbPmHZx2KKq1
X5Zme5U0KLmSrJ89JBtHWEcXsLVb4a+c62FeC9IP8FioiphrWW5dqj1BMnbmhqcLiGnlXTG0MS69
1oQ7e46+M3uLTxOsQz/RegEWp/G2pWN9kAVy1kMPKWapDE8rkhgYpSA9jsF0SBgA3M6eNxxT3IMf
nuIYsjwij4XRvrqjJvcYl0gwdAxDB6YWVzIWn0HvGpdWjR9zR2W3ju19ZSfaReDiK5P5jYa0g0a8
CJjvt1FZJ4CHZ5uSIRKix5ztPGb8Ilq5SnsHfD1sg9H6yLJq1zA0WiHxkzaeyjVOyIfQY9JGVem8
QRYK/Dws0cwNKPPMeJgGu89M5c4JzFFc3f7QDPU67ka1YVAlwcVppCEGnvWmMo55Xk5EiG1y43Cm
u6y9IaGwLJVYgjZ2SF35UNlv06BlPs8h/Xa2hHkN9dBcZ9AZvucNibxVKfrwHTghiQB6rW/YclF1
YQwgq+tO22Wdktc5Aa+TNYqJcVbLjgpmg6JPbCR1X+XDuY7Sa3ZPLIX1ALV2qgj8A8dj40bowImz
9qNKOwAWUrszlHdMuzZfGyFHRlCAAIOpUQpIN8ubtHQ9fxDznYzK29TVd1o4uKRP4uHggM3AENou
63samDeMS5TP5OAdR+y4lVr2nfBQf8VO4aCZy2G2N5v0znU7xFG0kdNISHSlhNxaSTXQ9GzN65J1
+9Sm7rWh2c5dGzaNcXbdIFkOQYWh/GLSYsqz7TSHaJHTyrQmNxlSU+9lQnFa5MX6WcXYkozugk8X
XZxnGxt+FM2xcSJ4wVpist2QDLc5JDYoBLGFDxgSN4peB86QMzhLcrjB6zyFPu6GWMCkLQPXZ58+
UGiQGHhysSZFjJpD5M+zZiO2IqB4VUs4Fas51Cw7rr5paVLH9B8X2KcIkKLwrFiw8Dj2sqAIhB3O
tMeDXE+nQEXZsJWjkxmYMesaWISp6PlJnUwrf1Qp2Wqum3jcAaBAvHVoIiZh2w0K8pgBJNENJkV6
G8nsOuUussRE+NlRlKzAoWTEFeSabD5Ks4+IXRtsoSHTT5CVEUocsL8QWYuBO8ZrE5pVw1pOfsI+
Va0EHvFyH5hks0iLkn9aU/qDD88p4Rn6FN3wZrmphghsbzCyh8Dzde6QVnIr4MlmRS/y+yYJ288h
UKVNsfwwEKilNTa9EWWSJ9u5s9FScjIG4SVKCz592vqiXdiPZrsxsZMh8Qg5Wz6z7QqQbBe5xkGo
us3eVc3+d+tBHE0xjuMXW9m9QVmNh2KMlTC68wpA25B/uWBXpT7IcpTZosI2fZgCtoYrRUF2RiBT
QNeGORpHHHHs9nUoSsBPWTSqq65ko4pXe04OOWC0V+loa4dQEQJb85CgCEXt+CyLZPSbQk0vEDMU
HchRdmslBo89vO/bsCjae5vw1Zbpv3wJTUXrj9Xa83eG0x+D6ECm6F3xFGi1j3na1xoGw3ndtyfB
78UP2eoGkV5Cp31+bus+tXaeFvCO9hP8ChEOGkVVVHVeT3VG1jYaA84eQ9WazA3xu20Qq7LhxFP7
qW/t0d0KjKL3eLYz6y7IFEa9zKW8AdlIYOwsSHJPdauPBLZiJiKZrYg06lka3WfAmD9AmTKNGeK8
iXxZ2/FDzWSp/05VE2fL2aAvk04cvBYrxYnAiNNpnw7jG0jxgKQt32UD1wHCpQnYZGsEzYK6afqb
tgWzbGv0TvfoD1fS6m6ntLMPAV6IW0mXFXVhc/GozbpL62E2vrDbrG4rTQez3E+e99DgY7ydgjrP
bnoU6rcCMt++S+fhEPS5q2GhkPmrCGLjVqOWcOWarXc9tkvckgmtfAtN2X3L4jRRPpS7GDSI1QUp
bBBL/pDZrM5QaYcfAW0/GO7JBGUPjaaoGULqrpdoTRRt3BLrwg9SDHWIuyXSAfT3Ao82cmQ+aMmO
yRPZcUaMIjsbWCF5KjDM0gqvfihDVYUUVQzFp+nK8kfvasPzoMyOKng78nzh5DXhG85D8SoeKQjT
yti6Av+mgZJNaYLWaOfKz0U1ynTPiMEWy+i9TzYePsdntwxxjySNN+6SKihNWjlSTLda3d9iaZIP
ellk5yKmjZHOzMB9BJrkfJ87VhBcRjwk3XwKnwVRlFtzNMJilU3ZeFVOgJYkaft9QF3pxggd44Qb
uj30tsmYlCqJwne6YSH9pBimt7JmOraetclGVfTm5nHEZHmhSgGOEvMPGgBFmM31Va7FTNwp7V2C
6ZwKGC/pRB86fZ6yDebi8ti0Y2duZ8tqnNs66bPnvAn50pVhaPWIu31gEW/0XER+PBEzXbpdG+D7
NrV6r0MeoqIllKK47R1TY0wlqIu9ZZaFUDFy4uoxsFr4VBprIUVUlFuFQJ+yMF1RswMxJ5b0p+2A
lTvhOS40AQSkGPpbwwzi8GhXs6Of8X3NdJsTspLrinChV44VNttEm7q7gHN+9RTA9Rtzh/JdTEUr
07P0TZFyy3u0mq8HQ/RXqWvI3dAq7wE/gLhN2LkQuQh47gu4x3uovdbec+ToowdD20gwplkzPWjS
beSuB3yNKkH5p68lzXzmOCzbVdFYMH0p2EAgo2V+4AvRYyeTgvDAiL6PWq1fmglXK6U3dzo3/Lpu
4mDTCk6zDR7YZxjK6kSaK3xMGsVMsWEGSBaME5rthFG4YXdT8AmX4wEzrqrOdMcBcLBs2lX2YvQk
H2vVMjqBPm63N4BB9GvZuNZVpkXWI1mNUe2yGMLHulxwZSt8JiL1K6xpB00G1uNk9DEf8zS54cab
uu5+tAgzH4xJ0t0FJfCDZY6HZVAPzrjqh8gK91msBxuD88drZeTeiblrdkO9zY1yjXGH44wAvIe6
UBezcy7rSvpF55zU7FAparYPoYhTg/hLgD/emV9ZMJL70DWzj6qr+p1KlaG2g6XBZ2xrUuEcZdQH
EVK2YKUTHMJMH/ZZn7NAVdi68MPHSNsbvbHsrbJcHfqRxUKwoz08DK5ASXq7phxMjwqfcb5O7Qa7
RDuV71UzvaN4UJzQGnHurUFXOwS0rMwLfGoDk2T1h8PZ/wMXR9fVn554frGhWkBC9BL95WCXmWox
QzT1kfha8vDXLwNxDxaEKVzXdH7htvZzXpRBoA2M9GuawZMwTAgSKipU/vw6C9f0v7inywFu+XwN
2H46J0L+8+cDnOFpZkuRfHeYu6J7TZYVXixcnlU4SdwSo5bGn7h/IlIgbW7Kf3N1c3m3fr28C8zO
9qTL6fbXl4k3im6aGuCHjTy/hRbS3psyF1t72Rz0Q5PdSmUpIrs2ZTJTSQEdu4lex7rL7sL+2mYw
x8yWjQcytrabxxsmquVBWAp3j47DlZDC3NJBoA1xhsWv5lFVunNA4WBEIZfjnf/8/fzXF8RJWCd6
xRsrTeH8wpGdLRuLYtlVhzlumoS+G1juiDUx/scOFgJrfEhdxuGvXtTShU6OTbIzRdL55TtZB1BH
eiRMLhrOZ8slW5y3tDqGR+J86vXPL/YzLHH5xnAxQ4debPCbbHuRBP5w5A89yyyWZrHDMMfaBjH3
Y0y1ba6P7b95Vf96p1l8LR0HLCMiBzGcny9k5g3QC4WlM6aPrb22jSpg4SSo1e3//BUZ//qhWYAv
OUWyTcT77v7yoUElsBMm0BkpW0Oc8Jt6ftCN0VIU5Fmdn5qwLHbejI+RJW9ortOhs+wb4okYR9jy
dV+7vwp2n9/WXTDvx6/9Yf21V/zzv+q/vCeGYfLVggJi8LY4C9b6pzdfs8O2xqVzSKNIdw+V7Nqb
cTHBXP7ydRAlHQcaNjoI4OifryNU1Kgw7DCjBRwG/Jo+8BiEABaOr+v8f1Hw34Q2TMFt9IeP5F+A
rjddkby+/SQL/v4jf+ebi9+ArtoAAy0gWsJebvnfyxpd6zcJwJzOFmG7ttCXj+7vuqBl/oZUx3PW
lc4vfHPvN8c2wf1DPnfFAmD9K2EN1Em+Hv/1WCee4ZLo5q7wTNvhn4Vd+9PXFCugQIUrdl3XN/va
SLvXIhYVaGSL8FKmEalT+gSbzC7xIslo5eRFeKhHmZDRLED081R4AofkfEC0wFJnu9qW3AoWmyEZ
T1paRJvZ1jiFOE5wtPMl3T3Or6KzMQ4APugA8YgxP2kavMyBpQdeIF1LlNZfrImNA71BT1QufSDe
r63eyY9pA7zRzDMWHUvHgK2qzl0z6ow3ceKSJ3NiOEiKU+vRmu3iqkqn+bow3PwdWI2+FuB236bY
JOiX2cN15U3a1rQ1oiYVLpYnU++ddU3uam1PXezXXpB+B5ycUabKVQMsIozk4mXIr5O0s6ns/mbn
zXDQitLyXWH0viry24oAICbAqD0mUAYOQy3HayqI5K5Ef8Ml0JTGiGt47G4ipjp70GnFqYSfCmW1
ccY1EHdQaXBo2CfmjI7H8T5OrPDSRPYA9w+Um5a7NyaNDo8tHPRPRX/icywG+zbXmX/BGvNuYtbi
9Vh/UeCC+B6cmXnwzOkpcXt1EzmxcW+lyjl0vNcn5Mb43EeyeBpotKauR7dooQh5iIRsnJVKXgeY
QpcIRtFA8AKFeVUyXLm3vSS/uFX0Gdh4pOjDACjXCfUM9ChYaygf72IOfoA4kbPveuO3yKz2aeQc
O7hyG1Baxm0vU7IGUDVvlmTwM3G86mxMlX2y8hrjSDdnHzbRTWamNeZxRvuEzMktXIq5kg0uMc95
r5xO4b4I80MzUjeSRvVwzHWYgAMW0z0MSNDvrMXUsWnmlZrcz6A+GeazlXBlHXzAPQfP8pg5ELnm
oHCBuyOvQM+dQk4pcOFm6MB5fsPYL714FNQhV8zTozlnBjYBBtuhXapvNF1Pl2xiGxvqvX6eTAUy
iv70NUmGwe+gYOJ4IIB1RVUNp198mc1ejzjddbQNM2sUlN/Z8tJ22OCUqYCPIRKvgRCNh5ab+QIY
7pEoDSgUDAzbmH7KbTPV7oOXav0WJGv2CgAEgYt8JO5UoQX4UkNjk9SiwXBFM81Ms/h6nDoYMZOu
fNGVOjpi3K3CeFJXuSinvak6d5cReMDH5F4XY73LLWKjRETAF8nA9p1Erp1WrBZ/424OoeDlCghT
QNfxxFDcLN+caNrRHxLDEMTcUXV6eltRkr2tFg9CCmIKLoS9FZgLdhwyi5M0dfmSQn9hr0BVCR3g
kN9FUb3YIn8r5pCGuebcFO47bF0YQUEq95VW29saOgoPn+U35rWETWMMGfDcu6Gx76QB/SrP6tYH
fzKB7wPSYA3YIYKY4+IYY510yksdz+NGtCZp5Q4qfymq7lvEkWWlG+m8q1MaJF2O0Gvq6Y2TjuR3
LDnsbLq2cj9bmQZbUQrrqu4sbibdNTYB+417yzV5V0ebFMdExV5DnnxdOiVh0zkrNtKYlsPBXI3f
wjyQB4sY7iZLia2bulseR5fQNNPUZteXyXRIS4dRp9E04tDM4Uw1VjDfyHB2tqFrNavACpcamIlN
ds2nPaXEcRyodSsDD+0u9RQ4usAtlwIie2d2DmYdW1hvVUI1GP93OaG9gQrLMdph9CyDb4zf5zWD
Shyd3tAfdTUWHJUGuSesXbwxNW9PQ2Tqa+ml+h03eQVtI8LomA1LufXI0OFRxKVL0mrKKqrjxo4+
LjtinE4+Rm6iWFrbpKcLdsRT8TF6+SMEbbWpoCtrGSE43gjkudL1WTCc577QbqkvhSjBKwfzhgpX
rOt+chg8SJE8k9CbKfeUCR7Ctt2WZSL9oM484nem42ysOmpWjddx/7eTs6bNL961haPfNG62SXVG
UVFIeQGZdchb7hl2D+QSurXWKR3hyVyivXryvpj78eSUrN1wJ+z2Hocbuexu+IAxne6HMjT8IOiv
oiK+TSxh+wSMx+0se4YpDfCvFnzNDuWt2lkOT3Daoub1iNFm0+Vz/4nL5jbq3UeY6a1H8NsS2CWr
6blKeGysQgo6nX0PgAhEpx2sdUhgcLNq7GfNvJpBlXyPM8+50wXeX347pd39PujDl5az9ZjFDxzj
Liak3RJmwDrPaE5rWhQOiNZwxccmOteanhzHMrUPbiJoO+OVf3Nyz3ppUCL8mJw4lKh4X7RBdR9m
Wr2bFPH5tdH3QCHzqKiex9kNT0pM7TWiWnUqqVz6zD2bYTY5IpZBmreyNC+2jSM8350b764RGObx
ZmzQQJ87kDdBAstySOaLkYdXdMGaLLMQxgNUWLwolArpmC94qI4GWb7F0opr6oxTfZ2PoGXMqDUY
n1mkEZNdbRjY/lRCax3OjdQHLXfAq42dXFZn05bhiv/rE3MgUwdRpLyLGc7Ceysc0EPlJ7GN4QcH
sOACrFBCnHTMk4O5p9j1Q9wKxo5D+zqzDH0msy79ClsEhsQIdPmEisXyhofjAZcPPgSOIbR/TGlu
rocsVrdTr7f+VDn1lUY9h++0i+Utxib0xKMn8VUVoN+oolkN5jTs4IMY/kwhnN9hH1xPBiYC2Hjj
IZfTnO/wb1MSRqT8oYoIJzZMzqTmdOB+pPY0xXiuqpItSqhXn1k1jg8VyjhYMFdsOztj9bas3LuV
dvk0uv1NSVncpiiiSxvXWwH5bwVF8BkF6LGec/zXRWrdGo5XbguvmLYse95VEeRRvJkAWz0nDvm1
km1F6KTvyGA7XPH7uSFjFbv7oR3oNAHuxczJzsHjpqS/NiFQqKxJwN9CCDZ0tS+xe0yafpfq0TsL
2tNQ9x+NY0OMHKAJhKHahjTAMKap+O6SkmPdZRcWRDTkCNdPxDxdVY2tr4Mmt3044OoSONE2c4IQ
3ONILSZsru4S6vAHmdENgB+bhLExHrgHHr/yPM0A2ldtr9kbtvAEEg12nXZ00cs0PuHs0fy4H6y9
mhv9ll3cdF8m2by1+8G5MSgLdvLkw2ZwzZfa7k4dH/RaZd2VgNxz1CImk43DlMyBMOHrxCiPgUmz
HJP5cW9pvb4mt/OaTKLCmp9l50FOLNGBYsrlonaoRox+OUfOmTZU44bttzpKtzf3FWGgowqSUw6e
+KXDNbbEn6Vv9nFE5dikDSuXtM5drWR17QWGQXq3fJVZwd/Xq6vNwOoDXVUclAbgD/XzWYn6FYSd
48cmlqkpVzvRYiwPdEP75sS5fC4Q/Tcx+efHwq79XFQhPL4p7tYZb90n/qt8w45S3A7TFK7HpNCp
nM7r5oh9PNu3Su05Woi9NbSCNzUPz4zfqxtXskiFCLvWUhReRa0642OsX0qyp3BDFMo1hkSNB8+S
MBtS/PmBqhd0ckDsJA/ga3savuLUA6pqO7uq74JHxhDqVmcCQhePCu5od7YAPYXVgT0YpTJmVnxj
IoilNx/woTnOdGdqOaPcuM0+SjDROxWL4odXVcFuZLC9looddOUm9hldjmznDMbmFQsWmdx+KVsz
BmmeSn2K78NwYZ1rQsVPxM9ZMjJY7WYXhIC9dGg/Vq5fDJyoQDtDC15b0xwCyvhwCRThd0g9RIlo
2vBx8uYftuq8CwZp52kyDKB67SBWwuqaF4+T/l2qkuy+HEbzONDzyJJHlw5vvSnWFSeBDXcMzPRm
WVypnGkSMJS1E7Fha/BiRoG915pxuLhkzNdiUAWMf8zENEu5mzkIPodiqLFdVRT6FNm06L1WsKUl
Vr4YYw1Kv8itO0oqms3YGrQNNBBwYTM7YDMd5ztHVrWZ89D7rNrA9D0OgIdognsqwji+9EYU7x2k
yXVrF+pYWp7OqmF7WzLW0lib8U2qDcUGS7a+kbFnHKFeM1ggd3Ux5/o61yP6mUenWfVumx/lnNLg
W5neoXUN6+wMdfqDF6o2gVe5J0JCjLUZsRDFyKYfTjC/tzlYaonQtq4GGfpGPSKIewb4mR7ZL8/Q
xoMovPRpys7R8K7MBZ8pQKszzHLib7GWTP4wZy+wtGc6ExJw7h3ZMWeGuKXn+ErMhsEkh3z8/cUn
brUdxBbvVLbetAlqZKqKBM4ThDbKeVyGT37EPednvSCprWBKdV1tnG22YGsFBuQxZAMfcJbrn0Kd
VmdN6ffJFAZbO9hSwLozmBMfg7y/TQbhu+HAw2ViS07XshYa0wVzqtq2IXEUaxqv4b+98fUcMdLn
yQVn9+w7EBx91ZLlGdC1d/VsWAWeyaIi3MYXNaMqsa0TcY0192VmABjy/NxQgakve4N4WyqNRoxK
A3NiT8Eealbm4xKob/sqi7E7NmrfN7CENSfJ96wUydHo8b6qPpfX3TzZuwaD6bpwwqvepTyEa+kI
oGNngKFDZCf2nQBzwKcA6X72zG+myebJlmtbMaQnOp2F67LSwKGnzj6CNiklec+wH845j0KM4trY
3zdOUrzkjPtpW4qM4J3Bxqyt0MiIceqRGvW13ie3eW1od6MNOzQ/1Ha/zPsjvWWb6fQkQ9PikrSJ
8Z0VsL5UWsYxN6r5iyewVSgQNAjYk3B77qw5eDLJv21Uz7ll1cY4n4HfjNOBUKuxI2/X7jB8iru6
GNPj1Iru4Eylc2eNtr3rerN+B6nv6bS9dvELbJz2fcyZJjZVxc3I7HXPW+NhrDBKdM9e7j1zmFaA
+iFRl03r8wvsZ87SA11gcX6PV9K+pK6JeYI61xlcT31t8ZneQqTjL4Nd8ik0h88qS+DixHN8jPTe
uJ4M/g1vk7dG6mX8KBwo4E2hGaCvhLHJka05cjBdmCbtTBqW4DMoh63LxgKynNJAABo4qk0i92zT
SRFc9Mpz791s1DYeFT1suMv8Ss/1jVnPYAhCCi7JksZ7/Fop4U8SO6BFH0aRvtbY/yle0VY0THxA
DEoOrmKeSvf3Wp9GVa2s8VvD4UdyD7uWMV0Rs/1ekmM6YkeOfi+c+5/WPf8X2RwNYdjSRPn7M1UT
CiTRTiomXuvoj9rmH374n01VhDxt3ZHScqW3NEv9Xd+U+m8ctxZZmoEHvo7lT/7he8TcCO5+GU14
rC1YHP/pezTc31wiTvgebYMfhYL1VwRO14OF85PAyTMayAW2R8n4mev9InDqQULIIOlHvqllZMKC
QFUcmoTOhAlPjUnwZGZPym3KjqMPlxi1i5cQy+BoAgBpRQtRwBPmuRgM5lFdyXOsC3J2K66b3adk
bx6cpcMtHMv+RuRFdKpzl5Bg7bj5rhlB8rtWlXIjNdEHCL0ZcyVONDgfEawl8nbZ0xwWGd0tWUH5
Ar0VPd5mQXJ2CKZbAfrRXNXzfdgRHZk1oht5J3Ev5c6GCoz6FEkcBaMkwL/Fj44FLhjDtl0D/taG
XWEO6hKXSxCcHLN+H+CUe8aTEt6XZgnFUDeTN4Uv7GrKVA4DnljiW1hiohojhpdt29Wvg4k50ANj
4EDbjbGSYEAqEyM1GfgHxc0Izvmapu9kw3OClJo50kBEjMvIaVaKrdpkm8+z2u5I487wWt9kLMd8
hSWJzvdWxulZRSJ9G4Q3o4iGmfcBRTh8hGfCpi9xvQD/tQtx3w/B+1MMQzDSI4my0i3QKEkSmseE
D2CNtGuvW5H0J8LwnIOKIAD9NcapPzcFp2O2pCXNDIrAoz2nls/UzL3qxJC8gsPMP3UY0t4OfQEr
tip6Doe6NzUACAzYEU7Dgs3D2OR96FtSP5hXMc1rVpmtTMD8V61k9R09ZKuoIXu4Ri4mAwJPmTA7
kpBATy6j5zzL7RDFGuXZariOMVnEobE0SY92ihbnAmELmq3LoGbTEHlBvM8ivfsgLDBEW8ssx30X
a96OvA+ShhmKaWNWHaqoa1ELtcGX3jy2tBfdYAy0z4HomoeoiMrXkEw+BTMt5rhTi3ZEXScxqneV
O9MLLVDstZ3YpWDIS+rqu9G1SH6zIWgLS6B03BskPW5s24AMN1eDd07SsrnJl0JtYtaRAQhvlDWm
pmJ8amwN5QJrovbZVYnj+NIw6mfSoPmbUKLcQQvlz6lIGx7I/EEiDNtcgvloCWzRskaqe0XCvzjh
Nl6JITMBwmKjWIWY7J48gfnfacsZiGax3Lcp0o6MtH5tVwIHH0IuNVSojigZ1GG/hdxcy48GOBDt
OiPipMcNlQJ2L+ShxxPFecrRYNfZ2ah/C9WkPwu+ctNGp8Zz5wU5H6AkeU915iSdlbQUe5RGrzlB
uoomqpnOZkQaDL2ZOb8M4biBT7kcKqz3ksFxvNYxS7457phjeDbs8WUE0uurLqJSEkXmYRy66hwx
YNmnzHqORZ4hDTrMy9ehS5OEmsbm29y4Nn3gDUhAU5KJxjlbHl19Zr8Im3aBzVTFNp0sJN5R4m6d
IuYT07wpiYSue44HkHuimjLRuljNphs8eSalmAUJQUxYqSdoe+sQUKe2rhRnqZwsybwY5pCFF2Vw
GPNysSyin5uRij9RxaPHmR6FEzQYGopUSyIUPrE5PGvcKMb2/7J3JkuSI9eS/ZfeIwUwAwzAojc+
e7h7zPMGEpmRgXmGYfr6Pogqvi7yNVtIkV61cMtiZGa4Y7CrV/VoLWRD7KYmN5TLJELEMjoYi7g9
ubXn3KlvEfvyaVfoBLtyjg66sYyqI6Lj8GDRWulrECfQ0idQ6scub9vX1nQXZn/xmeZ9ojdFw3O6
BzR8ivwU7zpOZQCaFOM+mZ1ILrMnqJnwo7F/sYOwOUuM7G9W7yI6Un45b7UwnJYLNoAHmbsAiNZ1
Pbu/WgDxhzDvfpl1bFcUVfXguzzhLMSsrP5kN+TiYm80iSFkqeESa2Jia0xTk7NprSRp0Ve0R1Ke
MZseDKcmpgwGPcJ4lYQLOtz0298T6CtKc0d83kTfeiwA+aHJm/oqYPd2k/NJwTionBmBccjSbi9a
2UYH8uqC9jo8k4cccZdoJj3fMbgFjmYrXNT0qM6+adOoZzb11zhM3pXZlZyb27bVK4+wzKWjG+Wh
MLjd2jmOxw16bf0GoJXu9Yq95F1XNeJ5YuXGTVen4myydHjCwl9jtUu8K4+yB8KgbscCz6tCeVN1
XnHDJsN9Ypey9P0iYNZrt+0zuZsqK106f/rL5HZqXiOFh8++pSnsHqn9/jJrNuUn/oWRhA/m0DcX
eZP31tGaBf4zE+2F+9bJD4EtsD01g6MeeTY15z7nLDng9ttRCuxuxkDQszsadGSxOgGSvwaBYO2M
uozPyRS4L9OSAsvKMb9JOVOvM8GB0R/K+JbeTJoSZ8u6JQtZAiqN6mcdmulT5ctqA/vgrcIu8thV
vX2bZpPY6DRB/XFy87E2S+M3qBnwXgSP9KYCRnFMqFpDTyWF9gigzb11y/ixLE3jNiinYJNOhVtD
LGG7havNYlNUQREbKBBm4vOxYm8pXoDK3PGx0R2GyAAwIfPG5UrIZPVBx0ywG7/piz0FCijBIBmj
Bc7YLZjGfgE2EpyMN8Y3xbFYgI6lytpzvkAeq0HF73HXvJFfnfegNkbgCIQ8XJXHH4GeyNFCtLr3
3KHYEx1fYGpRsasNoM9r0ILGthgIA0w6kozgLVrpxXXy/D2LemQQzxIjJbtZSrK7aAB6Z2HFw6WV
nn2k6Lh7rGcYWIXR0K+VmjS0tNDrc6otSPiVKamn1pZ7mwcQU3PePzq8WmBlZhLj6DCkxASoRtyW
5tB+zFYyXLxWBsmWJ0J0BKkQIej14sG0dXVraR+zYQcei3qBXj1IVlD1muI3VK9WQnTzRu96mvEW
nShNoyYHF2mGQOdmHxXrujc90Y6EgOB/NXVGVJprgB7Gkvw5PlDgBwP/S2MwFIe6yG7jccGFQT03
eX/nRAqaFoTTqrPL6UXMjg+sa6pu06qgK9RuCUJSJGjJD7xEptp0SRg9q28oGWvu0rgenSY62WEy
b1pnCIK9jFxMh0msp+HoB24LRGxK1EtvcEcWedzfu3B39l2aWze0skBC65yWKkRN0+ZBFRRvqTzr
3kK2O3fNNztNUM5wpWtzqUJIuVdxoiZnd5LTGWFt6NeGNPQdB9gBzuLCYIuQfoH4DX1HGyqhcPhl
Y/0iRVLd+m2SbkfVzNeeVugMvLbscePUDd9owwjJUJi7nxT1AYTtIjFdG31QXPlQF5EW/LGnb6Uj
14AQ/Wtm/LQWu/X00UUdSBGsliBKp6r/SXg5oRhDUvA5pJF/SPQ83PVpZ+k/fku8BcW6ojb7ze/d
R7nQ6YZ5cF64Oeknw35U3ZLJJ1Jf509Omt1ncEo240K383MwlJUkTAmZgIqkInf8kF0ocOVCCr74
IFD+CwEj3iBBhdNtjdkPbp4rPPmcqAB6rVUu/ldoPD0C6IXhJTu30FReMXQ6CUSd1vuF1QChLYUy
tB6x6lzjSIXbDj1yBK0zmdNVOcoeE7lvMfDCK4Nrq8JwOnQ4q34FWdjsg4KVzqowBg6XYUVXDKAi
z78u6nA+WLy5fhugrX7TcdKQfk1SilI0+4hmo3K+65XTw+bZi9KPn3q/FWRes+R1Noz53vTzQO76
qfR5t0X9s5XCLHHJPF3TvTjfzrHsfsvvl28TJMRNNLAnNj10cpIf/TmWXntxi6J6bAayQbiN1CrK
e/URlXE9blldR3ILVMzFC68mvepnIW+8lDZwE3AVXgaWzHzPmUM5j1nYaYognMzHsa9bHhp1CSki
08J5BSuGl1zXHeEjkwrfVW2a1S/bqDvWbU18KXVT3sX5UL80/hx9trXjH2hFsJ57a+kWGKcxPPq9
brudRbdlDCO4C48Ue8zGMSVOfxBuPJ7SRk4W8nXUvUcMyWwkm466zUjm1T5VpD2AXrfJmZEAZQLC
7oFlTw3zjE3U1nIizqET9Q0AEoqqookon+t1EjiztTZdg69OlS2hqYTOwJ5gdoZ/2ypvQX9R6pTJ
5XQjdbJ3zDY5eE4BnGYwLHEfcmUecEsXP8ngQWVjyu74GySqmral8WDqBiJpZjUv6VizHLYkrmyW
JBRVyoCdj9U6/Jdl/zAYojy15lSdSz9EmIlltLCdszL5yMusiQ6ii8MbUeb8CuBZXEpP7CS5037+
BbdZSW6XfD80WXJrkPYJYUPiGWhmeFZhNFpAcFjXPCZO4N9TpDdvbW+m4iObtErhC/QcSMjVtldt
DCR7o2bbhtTUsuFou9pcA7iLDUZTmmR4Kce5c2i6lq+GY7yZ+9OpR8S96ngjfcQUt6p1ES/yHz2b
LhFmCyvHJuo6drbC6Vi0Dh3Z27SlQhcTAvQkUltqSxlDdGoFjVJN2s+fOX6s3TyOebccI/Nq6+qo
8daUOsVHHxPm7zFMy0vYpDxJDMpS74BkmU+5s8wUHQmnDWIi3gbTs5obov/ynKsuOGASKg596gLe
0uwbyMTk4zPeYDAgQAjKo0EO5Z3l4ZLTVXO2xHBqcZQNVR4vsD+xufbugEn/P/a8f4mp/KeYRdr2
n3OVr6KPJo0+is//k5LFT/6pZBHGBavMEQr1ybSVh1T0h1PPkz9wXds2yidsIfcvVGXnh/Bcjx+w
OdzQDoK572/5XeuH7+IA9TF/emj0yv63dKx/cL7iDyRzK4XnmfxxNqnWf3AOI5wmdDYBeclZRTXr
DM4qTn3fktG21Y4mVOgE6oV3kkl7dqPiblvBZ+3X4dRgVeAIBzMgqOr+YTCJuaxcp3N2Hdzcizfq
5YkZdffQ6wtuNZq3EyYmzjNTFh9AwRQn/kH5Jrc5gQ4+wsllcrxhPKvSbE5VWBbxjcNY5NNZIKOY
VtLERQZzXbjrWLeze7vonIkhcJp4YrmzpNSD2m5/X7rRLIm+xoy/UMZ5hXm0DB9IyTj9IWWted9r
pz7UkwFkzBqLVweKnL/WgYUw0qY053ggd3iJSv3otsohZ2OQa1zBpgv2g8Pibm0MiuF5YG8Fw50c
6q6RNem1GFQVxepjEF/HncW8QGGEnVMpWs3mlUgDKJfBMAJt4AkQuAechdI82DOAXJY5duzCJhzU
uI6jwnhHzPKxxLEuO5cBD9qaoMS5FUimtDKXbgycg7mdeoGpK9ZUWjQK3adpmQX7wHulP1G/ZSJl
Ial0V/4WsyG/0N8wbBldVZ2pRp8uIzFk1goOC8CVbpdOMQcc5sEyxHBrzAZrINnkv2QeGYCAkyjM
tlM9GK9tbU/Ghp1yW+5tNsq3kIEDKtPskDr2ue2BsQRlnz2WkCQpL+rMjmrVWVULpc2zvlRFGSuK
hZW9zW7HIlAbRCxXAQjFfRw3ZFcpJqTHJnHTmdBNYPgnsHvVDsxJvxFNu4z8bHqjvmkOsivr+whq
Hw6L2EHZn5OcdCvm0W3q5NWHSRbqmoWM1GsOC4L1jpsCcO7Eli0H6P2RdWobe9AW54nuzQ7vJSFt
a9pFYTq+4NyYLiY9jIcWlO/zCJz0BXsiHBQ5e8PaMz3vNV8IShYtuoAFEU3sjmNpavnDTWJRwkmj
W4yaVKcXVsX+TvNn7VldtJvAYkKCFsXm1qZiF0FGbIcZ1D/h3fli6LBcNLvgyrJorBA5UNpCqoJX
fJQ/NxaKQunhjaL2jJQl+7jWr1iDnXrBbcCWPCYUxshz78M5PcYRv+mgMZjEXtyegGpjgGGX9FSF
LOaU1uMVy/JlHp/7dU1oE+vsBMDPym0+/1QE4a3lWPOdJJO7mchb3nCty30lEreC5eEUX95gd3d4
ksQm0Y71MIfD/Ixspw4Z+WB/NyS1SzfyWBXPGefTF4Ll1TNlFvqL92by7FrOUQ2ePtgpfzZFu/HA
crRTtxP9GW81KYC7gpz6x+ADG2WNiSdOxBQrFhHppXWSa4cBjGdKuhoTCX5VTvMmxOr/Mcykh1fY
BO0nIerwxu6zdMNZM/9J+Y1LPbdU70lkwMTN8XZsetBA99JzUb2q2DpC584+3TbwSZrXpsDGYjjT
TeIWTKr0VVRfIq4t4HTe8Agsev6K3GGoNh4koKe5Nt27KR+X0R0IHkwUTJtAFAZ+T17jkHA9603K
MDL2GryUs/GzLLjGXaVpcpDpfQAs9Df4ZHoqVD9S7eUXWbdqeTQfJIHEkFR2IL9wr3JSb30JibRN
hXrUfoF2qnU8r+fMCe+bPCw+QLVx9/ecK1elV2W3UGR7sSZES6WG5Y1nR1CyQ78sybER09gGo3lK
EisY0QcpOuGowUmomTiP2ILjox3YhFhN0KT0AjXK2oCpJQKLnllvsUloMhEyG0CPcJNUygHU7nWi
vYd9Wu/jkqQ0rgjdPiTwzbaKjM4Rtqw6SZUF9yE88LeAtsarwpyDd2NoH8wqH89JqMkVVuaU3PmN
SvNDOZDyRE8XKBsy1EdqZ3DLWMYksNpM8qxSr7tkmLURtah1ukmd0b+GumAKng8GtqYys+e7QbXh
cMA70z1wKM8eoz503kViDNu+hxpgeZF5J4tkuIptX53pUsuv8CLnzHc6wouYjv5NTinWoS9H5wph
1mD/o3v8MMTaiMV0baeMHae1GNqD8usLt4KgH6ot78I6CU+i69UVYkH+Mba1/4FMofc1OsLSMimb
T6vrXGSaWDz2VuzhdS/crVdHHg1fTfULRuXw4VcJwPhQOp23To2UgOjcUximpjgxVlhPkIms4otS
FJCgy2njwEzPtFZLY9oIp3Vo+RnLczKkksX78olOMoYDMeCi6nD3HqOoT+8MF5f9ujG9HPTcmPK+
9Sq/xrPM42VVW05uraKhHz4MCaCL8U0E9xFgia/FVK9vsP1HbLc8m8ArI3RxCcjZoNXG0x0FsXAb
/aZt7orSJbbXwkJE/0hcGHv4p86MkDUvr16l1207shGOcFRH2MOgW8hEfLpIJS1Qeg3MN5AyPvnO
NCwNNL0JPS6Ln3lnp/G6iSvIYy4c5ffCMZxTRnnenhya/+SDJltbbvPNKEmoXU+FNk5ZHMzmMab1
51EWNaZY5sbkNNeGaZ+iYpIvZWXioUJmOZLhJtHgtEV51bdDfepwqt4DbBBXth+lO+h8xtryQvw9
5TzczkXLB+Lz0F1hauxeHL8uvyJsHy/mgHU5Y1mDKddjOpi94t4PavvsNlKwHVeteulEE2kIhJLj
kBPaxCfZrKhLHEUx5LY6fSl9S104sNX2PqgLjfjS+tmZGKj3Rm5ppDNXvZo2XI9JAfgThs3lHNrz
BvOWvaSjcWai9IwrNEui+wWiCi7SThfbKvOpuEL4eCtCrACCRyeJOtFUJx/ZcBvRrm6u0lmMBzFm
0RV+XdABk+FtBWwubHXGjuIC/MFGAlOcGBwAQIFnBQLSAj6SbvrmLQVNy2DqHZrA9EhoaEybtWX2
vwOn9bd6JAPPwWhrVjGEDtkSJam8wzBw+esudU5W5z1iGCEq6vcsl/rqpbGzZg/pYqmX7j2eWBC/
TWgjLYgabB7ZQ8xl8oJbAwpa0M8H1n24Fi1pxfdi9vvxiiWAn6yJ8XU000thv/ptN/2swGHFq4mn
eocDCDcar5+g1WxuqoCuhoiDjhlmgOr5mkltBxpfUaur7C2u1cCH6CPcTILX555qEQvXhyaj8C3o
+ou2C4TNgPkQP2aL7hsuCnD8LQaXiy6sbdyP1rdYTEul8btaFGQsdfKQLKpyUobNLjQh1WdxLx8H
0AB85DuMvljqW+fSEuM45+ZA8RwxiNXom2z5ighjvkXABvt9eNt6XbUxlHXt5rF1TcY4WNWNOdzB
pYjP6SKHp9/KeGfxjsXOuijmbj24m36R0fUiqFvwxM6EFIZ0a7SL7J6zhrw0M4dFcuqOeoZtjEQ/
f8v1An+4OtUcEBHMG0B7GFfC55pnHW+wybmv3EEkhHk4Je6susgwfxueD5pl2RTQ8udf4w2MbsPv
RQKrk0nyEBvnK2/ZNLRUyTx5VHidVeayiCDYop5bVTp3POwse5XXZvTGDWzuJBZ6jtDf64xlsQFP
NCTh47B44t+J42ymw0WwEvjyVZ930NFClzIwzpvHYshZnQBeYI1iuxSuHapluyK/Fy15VsmCp+Zk
GRvdOgCnYbvWjO8muuG6I47PCptC3q3rSdA2DYGmD9j17QMVJTNpZs7smwqB4YY6G/1GpyaB+5pU
xEV7LokoT3VrsKgccSa7X5LiKntrKQLuWEeTCb9pi4jIja5rynOdCIQUtaZBwH6sH4mQw/wB2kSV
u81Jk0sZo7fwXwJXM+j0buCTSELJgyOj68V3mtkGUfNiov6bMtGXtiWHuO+U6Z38aaD9IBFh/FQa
Xj7dQXOcNPldyrvbBnr4vsJ8Pu0Cs3Op1XM9aP0Z+8roppM2I0eWlewHvciaeellPlkkb7rnnqHm
WOaUDncR/H+q1vMTRR+HRufFafTwlfNYcu5VyesgTgJ/AVp3D+OUtimnqfllmGnuYG0Xjy2PXzIX
TbT0+PJImtV/JJLf/5JEYpJEde3/a4hxvagj8X8z+/zXT/5XlhEBQvj2f1NIXPUDkIMw4df8g0Qi
zR+YcnD6kC2UhB1tUo5/SiT8Jwqx6KRSJFgtgrLq35FIrMXJ8/dRRmxDyCOQzohY4/n5+yijjhRr
3TyZ9mpo6ieqrd1X8AjhxRMBZHlIpeMbi9afQWo1v5kpivdBt9NaAcXWW7sdyi3E7mYLytV/bSzW
wD27s40FuvPTyUL98h+97l+5GKUvsIH9c6mO3NBH81eZ7o8f+FOh835Ik22ISZQKx/X3tfRXhQ47
jRKSZCxms//tNXN/UNrtKlwIPiqs8pHv/qbR2T/4CeXBJTEdEHum/+9cgFy2/3AFEljzpGVZtrPw
GUyH3/SvYdq6Z/9a+DkzN61Xj9RfzRsk4oJ0F2GEHtrUvq/ztwhCKbq257GJz3PiKRwGEXeWE2Gx
HA6j0k5fMDLGbGdmdbH8wg2OI+VQ/opFLKfLuFGKjeNyrBqKjEK0NFoQcMvBNPUnBVeWw6ovVfk1
l273EhHVAdohSeYr1xhvzeWo6y+HXlSUdDcsB+Gx6cU9mav6ZC/HZEh2HB596jhD+gd4FWFbfgEP
LexTtRyz4YNy4o5ZqD9CmOMcTi7fICnHXwTSn7zeOmIgWHOuCJ7GMqn3+XKkV8vhvv4+5yeGx5m/
pnvgOcAA8BR8zwRahvzZEuzoWmYJrcuAdMSnv6TZ8cwzVjTLgOEso8YsksZeJcsAwj3PLNIsY0n+
PaHQVdbcGVWZ+jSwMML4yzADO6m4QE5mwjG/px1Ytkw+4TIE4d037ulTYTJirBhgrHzPSwYtr6vW
mOrr6Huiqr+nq+B70gqXoYvc54RUwCCmv2cy2sLYMC6DGqnk8iyX4S2xrHBGOzXlLnfhxxDHY84b
Efm+Jz8VOUyBRWY3B3DqzIalb2pvPXYm326kfeaK2cvj9xYjwXFapsupM6td61rug1Oa7q5fptCp
y+KYTwNclmZG+FWl1vBmLZPr0md2gvJV3tE4Lp4Gu2guqZMmDikKk6y2A8TU2JLXYyBmFxRStZIo
Qro4zA4UXPk08RXVtnboU1o7JcMIdEWXgjTmbafrIP4hs57kMo1bSjvveYSeSDln98A5JhoOpUhM
ijmWYR5TzTLYLzO+uUz7lVqGaOoCuovTeHj4a1ccCZ0gEVDZq4/6WzgoFg3B+5YTsFond/G3yJBy
9D8HCA/5okD4ixZhpKgSbpOrEyQrLD2iEXxMpeVfN5oPauW4hYfU0YOiWxfgI1vw48CtVmzsYC5Z
wQA10mtneWzRWilhUajX8dQ390YJPNabku0iF2ycqn6vqjzYBKqkO4AEDOdgulcbv7wyR034XQfl
xpnsmw6jIjhqf4f7m/6dxn4JCE/lWrQkFlGBodtGZ9v0hs8sr39ZRlNf56p5qJvqy4/bgFkZWdLX
3QpKPpBb4uo5/DLXIZdiJQqdTihKu9lV3dC/xVyOl3ZUu0GIFK8Z+2hw1SP2krLF/2FiySEsp50r
dv/rwZQo7jZVBhyZu/zssX3Ychv2T+yqiouBSQLNSZb7zO60vusU1BL0i6zB9G4a5MjAHnvvGm2c
mljahXou1zD6lRY8Ezc8TQTNXeZMtwkepCjaS82Hw8IhIyBZsDdQO37IMVelDDEwEL3Txnkgbhet
B89NP0EY6p22EkQZlThcFt24t3JiYWZvE7ANa9LcDYMHTXRs3EKYAnSmBsGTy0e71h0e/oE6lJ1H
W2uzSaOluhcTKqpX0undBNLq0jmx+eAxl7x7FlR0POtNf8qFKEnlBultILxgZyZl/EU1akDJe+rg
dZs7c9pBfB+3sTQGPG14FleF7HEN2Zl5qFPMoKy+0/iwNJDvNBBzfG6tKy6AMckgpH588OsQT6Qg
ARg0U7OpgyHc5ZBEtxlDz4PJhvfVyDS1uzkAoQ26rbtv2YdzP4TtbZKYS+FsZeuf4VhkWyn8wxwy
VKcpeV4zzV4bEbanMMQqigvhQVc9nOfCS++nGFFV0UFwI0hH7j38l7d1ca5i2pb7fro1uzjeCDJB
T4Bf+11bDQUGX1DexzmtjGuzLczqJLmabgaY2WfSfgnauSajYw/ZG9uP7s010vS5jnV54WNO7/J0
tt87ggOkaRpzpD0z64ObMNLTOeonxggRzi0idCe3g9ehKbEwvkS43ChGoet3a/sa4vRMCfPcY3bD
mXwCy+ChHyMlP8xDmu0ySpMfghm9ZR2AqH/x/FFup2rsbhja5JWb5QwQ+J6rdauS5BOVUR+tXi/5
VcOJH8gucJUtf7cbx/K2K2KxC8kIHYRVqV+swzhGBujuWy+nNVAWGdV7mTUu3hhZGGe3DfH3skjZ
kxDcV1VTU3fJtplqyOE+8luiyp3BSOV5RGn9eQr3xKGrdRwE2YtR6BmzrifOM4ZgKs/cWlxVdlBT
vRNJ64hn95MaC6oprCElVe/V6ZbRqHpiA5/R/s3Ro9j4deOex8pLLsJrJ9yGPFudKP+QbRFzGadw
reliuEEkkjR5zQE+vnzw03fkwJglEROnsZ3CorzDjG9BCKrj+RF3rhDA43J9ZbJCfG7rtH8aE+uz
0SXGWPbxxsoNM3lDP13429VduCtURCX1tPCoJ6oN7JU9+ETrMymek8YdHl0eNR8BVggeuqJPoJun
WEAA0zvVkzsl2e9MgmfTuKk3REshcOad9RYlQigavmp508F32448REeC5FuvdJKruXL6Vz8If1IQ
d+DW8k615+MPE5gAeoOC8tp6MGe+5ykph6upDq7BZtZUxdQJtS7DfCySahIPacNNctAMp6exSNRD
X+A8w8u59ID6VNFGCYcOZ05bYvP5NZBAvqhJNEdRGc6+TniZorkYySaLFza3I4Y7xICW857JqzWX
/q7infIEmTTbWXNT4iy1mtuMioSntEIvwINL/0ZWEIJpMxvkomM8eqO7HW2S040pvLuhdfLrZiBs
CdYhebEmZPO+yfW26Yvqk1KSdE8ssoClih9hdAv/Vcl8ugksVX72rRh3QzsPOEyUmh7YWRLDpPJh
V4n2QBFAdI5KPe3SPqopBGnn02iV6sudDWtdBc5NJZqYhCmve4qbrJ+s3PqS8Z1Jaj32raRIrjfi
U5ZDs+IkmY5fQWAO53lKwIaMuaGuJ9XwIMGG85PYDhszoyXdEBjdfsiH+FZNqNQWjoud21npjl6s
6sIWFWNWTBmZFdgwN9vxM6eP5Dau6mvtye5gmewAkWg4DnQ41l300XMNe56O9+HMoZP+Ur+wb7Je
ZIeg4rGOT8/eVTLdm258nrroJ8TKz8ryb9wwbHd5SUSfOzh278uqquhBqqhyj2rjxDORRkfMaNEj
2hMQYfrXCkzdg044Rvj1fHJVN6BGdca9Z1Km9DZUs+dSzduOe1dVPt89m4svDlml3iOOWM+8pGoi
pZ3123WGsL6a8xrVv/FS/5PCd+zTM/aQ95Zo8YOfOe7GnvV8MVvjkloJ8hqm/ysSVaBWzTY9037q
c5rTSU61QUKKFxYBTpmhceQjnszwkJPp5EhJdH7okpN0KnXNE4GKrTrMz4osRbPKQxm/VvzEWeQE
09ecM+frpvOmlAVO7b5lnKwfykY0Z+5XMF4W8tWuqaf+LqWAfKDxRHkXLJyduaLCdBbbgBMu8Ghm
a/L6RfZAikCQQR2q8K1Io/ws23Q2WVUK51qWnFDStGY/xmGVgEsEXuU2FR2JsDZv8U7hiGQ3ltbN
0rlJKZ5BN2FFTxS271NTVR0Af9M2rkKXIwbK3LGkr+gaXLDKNl2bX0Sv3DsvNG3UU1eyrafsL//0
ptj6GVbauyg/dd90ZOkj6GQDXid4xHKdU6oerYMCnhi9Zx4dFzSLgLAtK4tY6Tx4j2TUERLor5m2
I5A8gtalt7NrZ4+ZKNuosmroQot8az0laNw8tT5IFncrX+hyE3l2tGelkQMhoUJahLeidr5qSGSH
oCiN45gE7TrNjaNZRQfbia+x+0KGUFW+yQCQPLB7wJRrNvE+AOOArTyQi9F1bywjhusCzKRQkrb2
XVFyNuRfcqVY+JogWjdxaByEwljMF0GpkOKVE2c+lIIyevEb2ClDFD6i3rGay8Ing2MHprh+2DVJ
d8N0XqzLwbvAVas3pDsOMsZ+xTDyE7zoOXWSTRE75CJ94nrknt7RYckAMZpBWxSbTrtqMw/ElNMy
6o6kQQB3DBjJoJXO9C/khHFg4KxTG8hS3FO4QzlICTmh2eWZ2JjZ+AHYdtPq6NCBR9+A1L6ZtZve
DpJ8gorM+cK9Z+/xdrIRHXxrNQwTojlzk7xKija8DyrInXZQOeuw7vW2NklJsTZVzQq6j9zNeZty
KDWmfj9aTgB3lzTX2qMRQq4NX3v1ys265oytkaWIzvh8vSZz9+loAEKVdn+wDbIV2hL6tU2KClZJ
xDJrlXQK3we2Z3JPou/vMpMqjq0KK/8ZJNH40ckwOFFKMWCCQ/LmQOPgBKl0uGV5zT7D+t5tmMua
g7j9mG9p354XK+K44sVBZoU60YfODKslm0DqeG+kWXtFmI49Su+B2zGX5Yptd1Qfcima7F26ZQHD
Awb+67KUGbP6Y17WNCw8YA6wufGXFQ61pf1v8cdeZ1nxhMuyhxlr2fuY7EcmYGbwXpa9UNkE/Tt3
FmXPTgVfO8+jfY5xbz8uSyVnWS+JyA+vkmXl1HmoBIt47G/pj6xO1vd2Kl8WVQAkiFUvyyuiDuyx
6ON0n7zv7Vb4vemihzT9A1j4/zrU+f9dwwX8uYUy98/lt9Pv5iMDM/mHsHz8/J//488f+VMAdn9I
30JmtVC6PIV2+zeLnGsDs5Oow8pyhLT/apKzxA8Xj6SLbIwrA/0N2exPAc77gbpFPMu3BH/WIt/9
OwKcUP9Is0OXVoh/JkI0QCOJ5+7vBDhfI0SkBJRoz+621LnxhifHRcMPAog+FwnNvYGpxUnJuTzQ
5dYdy7yhdIuofnWJUqN7sQeb4t6C49+rqgihrE2zKI/Zcqpa+V4KoK7mxLsLnd67MaNuCZQpNcRn
2APlL3t29Alild9caVOBB9NlrHscGUGLu2gm68j9zemdjvgKzHqCh2MTwef5LCqHal2vR3LceDLB
+9xlyy526sexANqbuk/YKjDhF1aEFQQE0Glu60ZfYX5QL8QtBBshANgt9eg38MvhM/Uzp3VVEKzv
LY9mxTiN0AS8TOMBh3J13RYDzWSZYULI6m1yp1eiCSJzOzQBhcJqishYFAM9FSmTa7apJ1aDZDSX
jPeAQFvQqQGe/SZyKefaOhFQ2nWZ29jX23rIhhsWcG57FsqmBUvgRYHQBW4Ic35ijZjF3LAx13GS
V181h8QzC/243ZrU555L8jvOoWTpZa8VWnDESJFMDwMuEgnXDPjGruvGrMMf3CW0OfgG9j01VOmv
1CBddZwsnZVL+yJ/gR0q73XJ/t2kRoA5rHDtR9NLekb0YLompuPfCnSfbmnOasZt25rlk5ASIyL2
tDGAt8N7tGpGkwwrRVzPZpW6dynWq18mq614S2rNydEYRz4aj3JwaswTlW3ZJosXinr0ixc6dr8b
Mrv1cKHlpmb56NLFRuf0A3VxjPaJB2FvVXUWAGFKXaNpmWZHjgv8DdCCTLbdWkt5n+C+PDhhHd8B
u6G/rUcD+kW7Ky+ymsSFu059MSwVldGJ8j2IhdpSv212h8v054C9CHr6aA9tMPtHIhDQLGonFhQ/
uYPF/89S77WrJV1oypTpepj9nKgrfZo2+jDhlsNE4TGkMR0H5kYrDGeQTLT7VhchWT8TteyqRe1J
N3bFkLYCPkMNmFk1+ktZ8wgNcnYKwnwLB2edV+mAjdur9Q6Z3KMeXRbBXd5DPFuoG8MuHfnFVkPk
wyJh9KgQeAQv4Rrj9qeOmV6OXm7gKwuoS9uoLCkLtRqgjfFqk13+8L/YO5PluJH2at+Kw2ujA5mY
HbYXNVexSBZHUdwgSFHEPA8J4Or/J9n9hbvbX/u3F144wkuFWi2RLCDzPe85zwmCxN903uBTwjrm
hTRosbPxr9XsoXMc2NtyaBV6GCpkfWXKJuDjiAVu9lR6MDszfSY4be4p71i2XmIv5yjo8qs5piC1
mWTYrJNMeVhgUcfFHXXV1XOrENIYiw7CGaHqB1Zfpyc7KMqHKE63fd5xu6CDoluOZP4YbRgMrhF5
oQISp2NuAtQbE2oOqcp+t7piOctRjOSCGTyHk0EKc35mudYYYKXBSREjnqEk7EZgti3msJHi91WR
Zsl7aDTxvRpKXUCoMH6Re6JSRs15udwmdBLOa8EjM+wCJgJzAwZlokoZ9YYyXhJpw3KLSWvG1Eit
yHM/9x7GIYu9xG5gKGWSdGI5eAcGAV7zVFrGvrGKMsy09DU0b9VUk7HyU1Jt2QYKOwM3T9K6dgYb
R53DV7v6J6cOZnOoh2bLBqS+dHLs96Kus93/rdb+K6s1wQ6BA/GvD/dDUrz9iN/yf7i0bx8/uz9y
HX79w78d88EvpibMegg+trbC//sx7/wCfxmTvEnNFUe6/p2/MWstjXvACO25uGtQaP7dC8+i1/KY
CNk5CQdT/H/zmP/yuv9x0ytxtpsOXn1pCWn/adMraZOF4tP7e5L+5YY869zgr6Q7pGZZ88PurXab
mnHwrBrH37swlVaFHfYbHvDwKN1GfpgkvXCYd/SKsBXDEFPs7aJPX/M283YVFmhksD5rfmB5YQ3W
Nd06V3N0YzDh3/tBbOyqgRcfpSB9+xGU4byf4s67RxlK1JZ7sk2ci8NwVdpuvKNqZjcHwzXB/PzK
NgOxGZTbHyltPzJ4QtwSpblL6uDWpNrtUAfR8OJGTfCRGe6A2Teewz2Qx2FnlYLyizzNpw/tOHod
nHA4wa6QG8ed+v3SVTF8pYC+JmliWZ6aAWxCfh3MiX/LakttZwKsHKym4DAfeGM2tnnA47lclJvF
2yCdYvh81O3sYVGkcAbDpH4al6r6iTfSve5Nwzo1/vAIDS1g+9j5F8trbEEeh0ov6VahtfKTqqvh
LtFAvw1jGmnJBabj3p9n7CGVzF465LGT5U/9qcwkSJ5ivA6zJCF/5XY7uKbdQ17X8RH0r7c2mBgc
/YZJ3oH2GN/wNyP1JZ19jrD9v9fTSIXi1DnG5zi7/XUx++NLlcrimh84X6dDjxQGu3XkmPaNcsKu
3ABbrtYIcvmW0eZzspEhXI3cWeUoPqcm0wUKufUDiaoAYZP7wy6xULz4wNt8owyO7EKmCM/MmrE/
mC8UF8KNd+ELBA4wpxr149qK4+5Al0WzUVbAlx5Jj0qA3lmNo4N7PVJWeuUY4bPfLmoDNq14tE08
w2PHQqpfYuv7NNcE5KRPAs/2ittEpynWrWbvuvAnVq1UxcYLu62C8LORym23hRP/RAQOQxoeaudG
iDE9Uqq14odunmsqi8+qWoIPFkfR0zQKBEWm5+d5kjnXx9B9xFTVmKASg+bsjwYZ5dqUd11j4TYz
AsNG2LBbSgXaof7o7O42sGkhF0NU7wA9yJvFmosdGKqJJWlOu7Ur+dQmJAeeci+QzWaipGBnFHzP
glSYG6Mth9fFiasrwKD1/VCwPlwYSHezwsVsTSj1drdyobTs69nznrMac3VWOJibDRaZ7ZxulJPF
e6Ib5ZPAtX4T89XRd82OgBCiEjH3oTS66SszuliLsDVpRQuWjNTRCryZue8srh+4vOb1MKdi7dFf
8gOeWBcwAhvNgfwmjNmJGXZqs8syVD86MZ3IgZAmMdUGc7WxaysFj8iqDz4a1Zp87yPC4QZ8izzW
iMl0OMWusfndu/ry6+vtH8qhuFRJ2Xf/+o/Wn0k2uB5IjfCeFg4TE4ycPw43oZd6qup4HSRtBCJ6
hC2L+laDcOTjWNbnKa+AThYU3XXlSz4xQGyrpm1voMsx50dhCesZ5/EnEEdoCnGZXwUjROs1hTLZ
mWad8gV4RMtqWSUWgkNsF9seMldIYfmS3Qdfz3P29WxDoLTsY8lzAZ9WvxeUM9Otp0bLhuCGA+31
P//SPW0S+oO3R7DNsjX5H5iPy+Hzpzf+bPS26WeRuRdOhESKI7LIrAfDn17J2aQrQfP52iEhjRWX
2QImg0UF2TgxB7FPLT3ifU4rAAoTR6IQG+YmpFi1abkv/8ysIXqMC2BdWCQP9pQfG2uBvyyH9tUn
TFqB/NrTVniSxAHWWZb8aJoJ3Mciiss0+O0RW0mzoUpoOAWii0+yKQrArdnINafNrGMJt8oFCWL2
W76Pch2qLN2MVL3unWAqLlzAg1fqZcpX7nbMCm5evku65m7wSTY3pILjXaxEsa965b1QdRQe3QI0
+6wj4fzS27XLkLyk5MBO06jwCQc9NnTwXXsoI8u+chUar6/mYxSzquWe3Ie7qJfRw0wVCm5vyIBr
/tk0hKdZvMvsQOwZe91dxiG7zS269DiDWMm1Xdg+95J67sgK6mcSHMGmyUv7E+ZdtEn6LNMwV2gk
tZNe1Tim3DWAEefZ6B15S2e98WB1xGkR/XHcLjAffjZYZJ9d1uvPjleVlxi+48XPHPDDmoxoCTs+
h43ZHuRoc3H2Nz2Q8g1wTDCbfjf1K28Q051USt1NqshuRqXd1HEO7Te2wQURS2XEnpv2YZDUDTHF
AESrhHy3UQsfq9CuAqhLT5DWKbzvF0fhOuyI3xamxo/hljkvbR/vodlNVyVFS+fCx9jhoyacPQc2
/arFDrprBdCJVVSAADHbsT57tQpvO0PVd66nPER/QcLbKZBhHRaH27aldS9gTXwZVFxdu9h6NnFX
UpIWWfWJ2HhwB7RNHvMGhJHyjnSU4Wwpb2dJaRn5aWbrgtZCImGda8A38MjqcUysZ15VnX5nReRI
dqF+j1mRiO+KxTA+ff2GG/W7LicuVKkWFDfKNEVKubNfvl6MgB54SfKmsDeDfnO2+h3qw+SlCzmR
Cy8CsHhrHJ8BcEHevJN+B7fSnk6lqnjn1rKZXyAq+zvQdLzRBXGv0Wuqq8UUw6ujmDcqutk2mQEU
qvg6GFJ9Rnj6tBC5wCGR6TOkoeHDOHigXJJ1/3UEmUEdRzhi515tMtF4j7NZObddndshXBHOtaSN
rX7lVyJz9h1p+BP8fpwf+pwcWvAK7PE4Qcs68t8VZCKOCj7TMDhlUl8BTx95h/YFMNqQOqwwpqR+
034d6YvJUiWaMcCy3kvGnWBnQ86m40fkfd0aZn2BMLhJLPpKQdUDlwtcAOm6HDxnE+t7h8n1MQzi
hlFa70nhe/jb0BimK9Lc9QYRfjqGDs6bviwKtsh1vBlZ6RzTYaCZefChFjAI2usSDgiO/zzLrh3Z
pUfSdNSgRoWEWu7aNz3r8/tyFlAbW9BEOxm3wc9mqeVlypXzg1z2eEm6OXkyWAE+hMCzOkj1gwdJ
JDY2BnrPhLRvJ7cueTh8I6Thb1zDGg6tQSCOOx0rSUXCWZfNSedSzHV8qsO6gFg/MnvWymvf2Ri8
mC6Z+AAxPQb4azo7OOcC8NMYP3oRXzjrQ3kEpxEpVCB3pKbUJ8JWd8A2gHoZF2fBPO+5k/1QpJV7
oWfLWQOn4vNRJNUj9BQc3CRO86NlJGm/KUhfUmc4+ikHbw2NNpjS7tqtKZd1RxUcuFia7xNz7Q+r
KjWYAm8GS2EetB2JBPwnros9fBWxk/pGQbyzp1mRp5iGouTkuXV2pVrfOAXNqA5FOk0nYC/uV/cV
LM/GjXAiGSZYVP+yQG56xB3Daqcy8j34MZCKi+gmvmm+exfPMntNLReGlnYhrohq9u/oh9FrPfSI
XhAUt0GVQQBxw3e4B/R8sSXb9kXpXsk64MNPDCXnKDeTO11djukkrzo429wCV2p27UvClxFST7l2
XFbcVe3qOtmfpjSMCf9PQqUiFwAs6nhaCDr1zdaxpPlSdZl9GuduuHYsNnqR8IatojeQP+wtR08S
a8Ne6DdbZN9p2zIDrPLAPUEc+sRJ8D5PFeWNIK4YkEB2H73W8XnaWfityhROLTvwec+bh4t1mJnP
1NKz866KZzKR8sVuxHAYh7z+phwn/UYCp/2JfxEZhZ63w9gvr3iJnkmboSemqeMeHbu6li5hzcBj
qddNENunyd1mtBBrbA7y7tYcp8BaD0HlmiwJ7fqI755zN8ycU2Dl1gFVNN2KFvBZYvA5NRdbXk3K
AOYTu+EPFt72HrkwVWuv0tf6BYg9DWYs1cDhfQywc/cE+UEO4wI4J22RXOEiiOaroTSqe9cY5WPM
/EImuJr6n2NWc120ss4/lw3QLZhPVvpQ1mTZWPZAzk6LrNjB/Kn3bWWRK0xrekyN0IExj3rs8n8d
kzfyITZx27ol1FAWPD8dX/uYh0c1UL9ChW6/9vlCZzbzBsWwjCO3mQs4qsQetVVB3uFDXSYGJ4s1
j5HNxykI5D7R5G4I5h6RWI3zDhfI3mD+Z7yAVrWzxOC9gvwSe5DS6QpcVoYqmM88te1suoyhdL2u
6qo7pnn3PQiH68UzP7V+sR1FKN760fBugybkeKwfu8wDeweqvbuXUTvDlkiS5SO1CL9asf9c9CWX
6oGzfdHgczW2au+bTbeaY2vamxqQnky5+Qx3r8EzpQHqTTu2vJLGfkPOkd5ML4S0zlHC5xuCYv+I
PLE8uvVQ1+vM9Ic1VWpn9sag2nGV5pe8rOQ1PgGsHmHkXlt2JO+GL8a7/cV7hw1gPODutS6g5tSn
nb2H3bIpFUUW2rMUu7c0JdqHNsm4FhnldeGDTDMbd9N2eeixdE/3bjLAIJpA1DsaIV44HzNrrHQX
fHHt8SbSlhF4YlOP4bnX+HsuhFe9pETXHKC4vlbL/UwZgbTh2zelTD9TJ7rJNEvfb2vzznPC5juf
Lw4vTd9XmsNPWrd+Mb/g/LTTGM7a4JzdBzzR3xenU08AaK3voZk539wU/18PgOnY6QoAToKY2A21
ACw8BBnuHCS8Lg0ArniEAIzhyku81UAD7V2S1u79rMsHwKAsK0OXrhCFoWY7ddH4Svp9D77f0pBd
9970MvDKW9dlJaw1RX/xgSxcccxBwWxt3YWwGMH0IHU/goNsv59xxuwmoGMHm8pBTOLcZOc8nLdj
IqjI6R14s7ReuzYMSjO8OHlZH+1mmHZRDnY3kyJ+anXPw4iLAC/m0LAPb4NDlOcxQfsE5AvCNWEX
pyCwpusjRlwEL4R0tFFrouylTIr7iO5KdjOVsexGfeD61MvuhcieclBBp8zuhj0+BC5kWUyrB9D/
amO79iP20267DHXFxhkj7arTHRjsP3UdRg6AYM2OmScwK01e2EsLeskdeLL4p1TrPij4E2MPomQO
S+t5LhOIcjZgOvKH1iHOeEOExGs2pFRnHpWkOJQS40RfkgsmuJ4Sv8e+slGqUesoc0B2ZeGVFGF4
XQpgDkH87iDMUHdzjMDKiziETxqSM81wy4EMe4HCiMuObvht7izzCYWv3HB9uGcuX8sgV3xviylb
USpTsCCT8C3V6LGpMpZtMjkQDWVCZhwnSw6M1PH4FoSCyqNKfCzDCEtVduVnDEuBFQ1daL4F5b4x
QgHDNwRoWIJS/pB5lX0vE3ZESOPkUm1jpGqAi/aFWaW/shM6DzEyoCw5bgePybBHQllJ/b3A8LSW
dV5dYeRNmf/q9FBjZz/AB833bGyac2mV3aEjqF5PgFwmyF8raQfLbvFSsecJs556xrVLb2CuKUev
3SYF2kccmCthYpnr0+yqks5p6g6zz/dzKIPvHT69lITvvSzHYJ8qL32mWNQ+QrvPz17S+QMypHMM
VXoh3a6GX1NMP6Z/jn5Wf0cGkH9vFIav5UvhmYE0gz8BbVVayjC0LX9vzHO3xfjk/mijkXr2xin9
gKQu86+VTxGtnyXuqDbDUbGJ49q4y1U2v7veUrcYTp14SwB5oaNb65VoOha7UrznYi1iAm6r8kvh
ZIvpVCt/QiCcK9c/JXjA61XHhGis/0dU+/+FnGV+QH+tyT/1/Vv79pdwGv7sb9EX8Ytpkwnh5+66
RKV0wOXX6ItHvgXKtTSFIIL1OziNJX6xXW7kZK4softJ+Z/9Lfji/8Jv+C6FanBtCGE5/529O3v/
/yDPUEqKtG+6HroUMOg/SlNxOGsvmSv3UeoUOeQMVy1r06kMaKqe84ZoJe8Eg9uqqTOT9xSXKxSR
2SWBaSOxKMdT56CjvSob2eaGKSdoXD8NS7kpR3j7nsebLXab/Oj19fgeJ0MPjyCxXIw2EcVJwVLC
fBp9ZzkaM2P62vcSk0ZwYe3KvsH2jJtklTd2f0hL4AyQViiyS11WgWamDkZZtz+jdpzXrLyGUGM5
AmYz4d+YPfGSiCdRa+eQFr2h2RUSXc3ui2Tb9alPWkWgG8YQeRos6/s4tYKPtHBpbnPgyu4w5tn7
ah5MwqpJcpvVbrPnJ+NtCmvKvJXdq+VkiASrU6CroBYP57WVR1WyiiVODVpEWYRG3CoKH0DNijRO
ptbIG3JFuSYeUbxhG7epq8vo2/W7WeTNDZVpZygur5TDXS8VB01m5wc6p8/jyGDuzHcxYyApneHC
mX3NyYZjj0jszsJbtrDxPiof2OyuQnrQ9Jeivq59rItA+dGKe2DeEznUkTWwsJM7WaVXbabrvnw6
WEKCH6CBK5Rz+qaJpvaUAo68SmQFeMCYr2d4Ma9sGvCsLX59WToxQGaWhvuY22lzatO5O0yuYV6T
G8gbio+saDP7fWaupKZQu8Xk0SzQeAcCeePTaDmuWNUYiIrVtIzQXgxxJrhqHCvZGD86qw9hQzt0
4fJJ63h5K++byl15VQIjQHGJLU3ocihowJ/5kRAb3Jp8Kg9wkb2SASsu92gN5SsF2y6FYL7JIGWm
721dfccp6X0PgsXbQ23M7guwghfsXu4zwfl8VSexSQ95453TfIhIyLsxF0QSK9UUnUdzKrFSWsYh
MFW2x0Ir72DHQaeknqwi/0x2G42iK1YiHG7gLGfX+UQqiz4lOXGfLQTFNW0FA0ik3nPPoCbXXaDi
Iw2s8wNEEtqCVCcu8AW5GkVOPb5Z4JpOYcY1zWJhtB+zpX9VRajOIXnoAy251iPKCWEYSMPq1jLS
9jWHetgCE8Jmsh4nwwElgRV2AotUGO2G1WBHdCcztpmlGBFD5dfc0rJpT8kCf03puOqCMaZ4ttEo
FSEqfhRNNnnAqtiIsBkbLbShiE42q2P34qUy3BqJ6d/yuiDznVGyckPfXwDG1s4vql/680jr5gUL
PNRoiQD3ECwVAYSs70i20Izwg8MyujX7mfCKFKnccfx33FE8vVYQHrbekHiVLourBH9pmd7KxQJ0
obU4zrNhC2WjZFkvcjKf9nTwvuS7Xit5vtb0CMkAbdY6H1dHOLCdVv/8LyEw0JqgTEO586rZPQut
GJpf2qFWEQlPKLINefHqEJZGZIS5ZK3l/FR/SZAMXeGjaAv5LrRCGaqGzb9WLZ0SRnKilcxEa5pe
Ini2Zq10hlGu7nytfs6Oo7T2hSZK2QLy2uxuhdcf6AtpD141xjg0Q/MQaFW194zmAmeluCSO5zw3
hqueTa3DKktDEJapkodQ67TePMhbdqPOM5U7DBOiVukVkwqBv95je6X13qa0rE8c8/6mEqp+JmAl
NkY9tc+J1oqzL9k41woy9QzuLtWqstT6sqmVZsBTHbl4Ku8x3KNEI2CGO/olkactrVTjD7bOUUH7
26x1bF8r2oK4DjpPKuBpDMELcFlv13RyuG+CNrzwy/BYa4U80Vp5oVVz6v2aG+l2ww2xzPKdBNS4
s4UsXuWQBK+Bz7Vv0Cq8nAxM61qZzwBpbPGrM7j4BmE0IILNVnzJ+U6exadMa/z1aLPb07o/amlx
qfUuAPMFAsLkA4fvTrXeF3icakVYvdZfq4R58O6x7qwjvWXwYy96pMRn/Fl27JPcllG3bwlyImjL
Rmxdmr48Iksxy4vWVmpnzJYbrfvWqs+1Z/TrRW882qGK6H1reSIpDTs4aQJ9Gs+Nbb0QLToBUzOu
RTUeisgvV14SXUNMbg+8qrd0kgJRSJE8g7oAztuKdi0mBirEaWhTXHwdKz9lFpAECM19gVg3lD4b
LaatrE/zYzwABVpHIkLOnihZi9v2lfw3b+ahotbFV9aEpdV01ENLQHIz2OjHslEORWLFeG8ZrYOn
iaKBwyTqeVvgM0SWm6iLT+8JIFCIWQzdhRG1fq8HqvbCQNbvjT8Xp6nm20PVrPNY4N3jE1vb13FX
W5sZgPVGdOV8JZTc99ayHOAxLftSyfwFcOpHxqFFWuEtnrzuoAqap/zSOJCNW/V2tCYSGB4DAAvr
yTasexhiwwksgvlgzyOeOVIeEz63cu4xLTno1Q7u8w3Qe7EjXopCLk3jcwpb9yQk/QM8H6yh/Ho4
WAsEOdCs1Qf1MuPBl7V36mW9vLVgWiihKS86iw5YAadRNBbhAz+Agu8pvepMQq3/5su5J5rexDci
moia5LMFgWwS+9pcqktulea5S5LiRbE52o5xVFNqY4xjTQoQGU26PaZvCqqDT5gZ1jo0DBhf9KmQ
PLDIHyaRr5Kt8EsagNwyoUHaLo17j+qhZBtPeJvLaQLfZXSlm++NoKzuuV8k5TVQCCPeGEUe6wAc
FLij2YmFCjKcbOo2ACxyUkGb34W9lfwseOPMq9h2FZoIS+nOcpMnC0TqNuW6u/YzIR47b8x3kyxZ
44KNtQ4FQcmdlbI5N6rE3FqBhrUDdMGxmcgtC7P6HlD0rUH9QVkjiU1td2yrqdoME4FdnHPwWrla
rMkvReuWFMqHSqbpU9Xyo0uc9tXLxze3HpEUHLAXt4ERuUTmhv6wkAVb0+Wrzp6lp9HaHK+QCdtN
FeKw87q4wJrO8dSZg3WyGv9RLqq4YtWQbXEw6hLKsmOd44kV9V/RxsmdchcTUb4CHKhuexEa+7BS
xgMUZ5IwjnDXtixdgNRz+EHLgLXjGY32JVREfgxD8ci05V4nlh9dIJHQE7iM/Y7EhFi7ce4+RJgo
z5CvsCikcklZMPWIsXLEcw0xkfgNbvBjS4zvXdB/svWNOrwUCehgU1VYCnhFraoudWiESrK1kYfW
NmqMaBNCuEqIYlInGsOMd7ZLTq+Xk0GiZthX3jYOzXiX9l4YcbtSxrEIKvvK89sRdXWyD8Xkioew
D+ItcpVzPWBgO5CHzfbZrMQzjGlsOhKzXIZKf0zysLp4KkegGYiXUxtgGsmLk7T9oVFZfW9aVr+Z
JNBaO2GN63uL/cxBBwzWpZ6R7IErt7bys1MiCv/ghf3Aq6UuP/0y86/dzsmfxqykOLEvTbz/njws
me0cg2a2UV9Dk+VsLXCyhgFHzcw6gduAtUnMcjp3Zn/nmN2Oe6p5zmAebv28/WYQ7m3wGt6Ms/G9
HBWRnKhynsgH0tHmt+0mqRhaahe0UC3N6VQ7cb+leorui8nGHDToIgB3KPAq8cFA3S56mulQ5txH
agqRb4jE8hXQFNBCv/21wv0/kQ6o1fnTGv2PcxpD5O8BBVgullSZSXyggoL6BsshsDIGHv0ltHpJ
J602aamMpyaQ0yOxpOAFU019K+MluiLw1nwH+ZciNHPBpz5PRnsCnfXjZCGomKwcN5mXUWHQBsaF
pbeMeWgTwiasyQpzHdhalwxl8oLdzKBaMS/HdSj7cl+Pnr0FrX7l+4nxgyxQtLGMqbo1EJgP0Amf
IduIIzRMZxs2gXiRw+Bd9YJNXtoEFXo5jRuoj86NzYKM+kerdTZF4y/HNva8V27q0d4he7iCJf9W
jc5l6IcHmxsKTbglEJpAzhuMAfMd7L1zmGTLOYHuyw3cB6BsihZSODE5GvHyicjgyoxa50P2Dbsk
0Dp0dswFl8LtaIjqGx5lUit14me8YmN3PIeeB5+NUhmkpEi6d1XVjbddvhBupkEvvJ6R1H46g5l8
oNSPm5o0yVZBUL+vlmwOVgYW8CV0LXNbzaN7RRrbODjgSTcdNbUN61gQgugy5vRz7KaXLqb1rYSy
uMOvk++cqcl3I3V6K7f+WjstyXWoHJ921qLtEXUdGhSGauwQZJfkdqF5d4crRJ7oZXUvidlCQ7Cm
MbnnQQ9YHUzqSBP7eFx0PFwkc/dJayNXwQKsEP4JrQgN3BfAbYI189a+MPB163v2+HXlzr+u34ha
xhWnMJfytFbdlm+k3JnM8pSyqTiGWMlN3vq61Pv6fo98z00f9iBgcH3/V4bfnwM9E1AlHujddHIz
EPlDFyYgetulShC+C7pH3DnVFT4ZZg2XmxkvIz2CWF/TyKAHEzDP6sJ6nGkl1IOLaiHgFa6SSOFz
0GytoTG27Ec7yiP0yON/jT/Ca8uaUktvWgMlEHAznGA72/T2IrTxwQ0w7WI5E94b8HtJYgBBGZ2w
v9hTm+5nf6ZdyNfz1tIsDzXRnU1u1PeGTJJDbfANs8BW3BeDsCGwcVMmmjdRqctV+OTRk3g1xgxp
dhv2RJvToV7HPtcwYjXEmOPIFN/IlDlr0pLWJfCV99zwMwDsqkfGTA+P2dccCQMxQ8vtUQoYMkE5
pGv1NXm6X1NooAfSWpCbbPSQOuhxFTN5dCaSea71KJvooZZEo3fmH6kHXUbeVg+/uR6DKcHKMEky
GjtG5H8v7eb7RH/Au6sH6EGP0oseqks9Xvtfk/aih+5Yj9+BHsTnr5k81+N5oQf1UY/svR7eJz3G
k2Niom/1cE841fix6IE/5SUN4ZXfHRvcQcOXMpBpkWDQcoGjhQPZD8H/x5Ml/kx8EXCheQ8KW2rV
xnO0WPvj7T4pIxxc4p/AIkYzwXh/jyPpYXmxXpo346W5VzfdXbLqylsjv/mdOvh35F9bu7x+733l
bxSmzYKInDdPvvenv1GhF4AhT8L96PrhO5vgBGaWnc43EMUWueZiWF+1c8PqU0RZ/C6cBRK0HVKP
KRyd0p6TcAe9YyaD73FBpPbT4kiSAHfN/eKExreur91HjCi8ud2yUlCWbQ9Cbp/N7WFqquZsEZk5
EfqcjhzMPG6oAysswffDtPj7kdsUs3OBT9IWzW7uVHNFImB5xRgRHimzzY8gOPw9ReHGU5Go9jyQ
4b2LixHUZj6I5WrkfvcQB+7yZqskzTa5mtSG9XH7bEeWfhwLmf8KY/rLg9HWYJ4/fFNthHRbuEDa
he1iVP7jj7GDe8Csp+tme9/Gm5ocexkSYpuNYIspj+9VYDkX09aVRiJI5NpJBodlkye+d34c005e
edHHDF7gVOT2jLdRdJqwGrxwv6ueLVqoh4Qt0WDCqOMOrO4xASTsVY0649FMLXCD3pwdzB7tYBXS
Oelt3MjwTp1PRn/bz/yriGKSlCRHV75h+cIHUPQu5oBFn0eQVTma0q9javk6suyv4wtIDaxqfab9
j4j1f5mf00G9H1U9twmsxe7f/uW34N7mrX/7wy+2X773u+FnO9//7Ia8/7d/+fWHqv/L/+pv/hZm
e5zrn//6j28fRYJi0vVt8qP/Q84NEYzr0F8r9Ye3dn4r3/7On/lVodc6PFKZyVuAz5D9OzgV2TjS
aC6uRf4K3hUmf8/fTPPmLz5UKjeAzuL9Fpv7m0bv/eIy2uhsHA5CHaj72xf/22uC79tffsId7z+8
NwSfUQGN3sIpiUviT2yqTKATZhnv3HTkoPRM5K0dwI1iVy5p+hIRvfzuwB0+MuyREWWBD09isi0U
8mY8QIcKeMe2/UNA7KvcjJCMnisOmhepSu9mWUz7KcFjfa2kaR1nGsDeYW9aN0OLGkncJjq4BdsD
MlABefVG9DYf2UUOK5Zp/Y1Ls+yj7aWESBOjKD/nuYaawgLwUeZCbajDoCQNMsYFU3K2GSAQYep1
i2NU+xGXmzB9LnynO7V0sRDRitNrqIq7BE7SyjeCcV0WDanTEYEkTXtKVj2eGm53CO2I98cq90MK
fhxaonhUo5sA/sw+6RJ2u1NGPXUzkCaktfABr7+3Gqe0vxlISG4CtC8/durVnLgI7rZda++3ccKv
YO8cOEg3NsbFHd1N2cMIOfO66kmzp55b3jTS7o5R3omt1zXjfV7G/XFErl8BkqFDbXBuwqHNb9xm
GvfNNATfRWsjVRvlSORd2ltDNtltnlvtwdGh+r7FApIP/fIWFBSaAIuod1R+DBt8YACAgFICre9B
/9imfAqz+rMsuUtvyh5Pz3oqMvXdZAX+3I+RepnjsHvE1BH+FAtb6BUNH1gnAGijGc0mDSpH1xwK
vPpWbH4vArjRcITSBLrT4k2vuC2Vvcvo2bmUPvaGxC+mq8CIsQ+R15jBGix+sqmGINjMbT7baz4j
hs++O28YCln3YEAfik8xTw6YS1ZeK7MSRKS7quTUsQ0gRU7zkM/8XOyGmaJLvM+ZxvG7JWaZbEyu
dZ3lEXcTo+y/TakbbTs/GL55Y5o8Q4OINl1j3NMuWV+lo5KfBij6Fb0KcNnZOA2U7EUzjlKZfiBG
vjoYrK7rdmn5oXvs1HN8OoOitJitcCUEt0aLKLnn1c71OA7pfVz5YpMs3XyamsW7LWoKDozsaYrJ
bK6UF43nsZG8u8lLHmZpq0OU+PG5xe5Pu2a+ldEUHiqjw6WOPca90y1Rt6pX82523enURLHzPUa2
AZi/jMaLR8/uc1Tn2bHMlHotkHneVDiCdv5/7J1Zb9zItqX/yn3qNxY4RHBAA/chkzlImal5fiEk
Ww7O8/zr+6PL5xxL7uPqAi4afYF+KQNlS5lJJiN27L3WtxBe+UXjuofBqho/8pBN2vI6Go3qxurH
bO1RL7/GVlU9UA8g4iw667nES3HGwN5aEmoC+hcFUJyTyABN+/zT8kI10rNpLgp1IFKmX89OXV7K
MYLP4ZblY+AxmocqrXd7szJJIdAx+W1jwhmCHuMqnkZh3DBLMjhLsTowkJN4wqGM8371jBzC3jSG
B7LJnHNQM5NPH7A4BQ4Nb7uNzctodptTmXfGhsyo+rxhUG9QRscw+5Ec2qckVFG/CVL4GkFSG+8u
ypj3zpbVifPGWPtDVpHQwyEw3fTkGFV+3jQwu1ClDvfIR3NUHrarp4wtusTxvcnwfKjXQGMCK5aH
ylrQAyiy5MnMEckVqaVvu2BJ7Qavp0uObbnrrvMY3HhrOX2EukBzL1rXqOZVzVL87NACjVakvU6A
L2RNtPM0K0I1CXGTACUi2+XpnIfw2EZj8WSJEFU+LJXuetT6/CuOQLImglyZL6KWo6Tp1YTPI8EC
pF5ZCR4+J48dOl+piSNzyhkqok2y3HtDh7aRVMbwBBd/zs8jEEn4fjgTnGmDLvMd4g/LQDIXaQS/
jmaxamXpPHVg+9yNR3P5Sl9wGVYxLYs2gbQsjJCnIpIp8nHbmf3U7WCC0mTMTU97tjGAmIAeRmSH
AATH8WQvRM59FJllvbZ0rbpgXlmFm3FsrXGjTIPUJqTScb2bwFQBMzRlcQv2HkPuwOlPI2+6bt7w
ankEXXFoCw8Ro7j2tgx17eDUc7bFPtKC7OxCiG1xlU23uloOYMJMumdcErZcU2LmOJa7QTCWaBZl
aqeRoamD+SXjIzViwGaWxI4KOeUcIJENmr5lWswwevxWo/h8JHWq2RVIVVM0WdBbVoQwpTdR4gSP
3eA1p9QT34goqV9l5N2IcWS+PEP+BqKRFvaW+EPvvJPd+EIrBcC56Hr7RXQ6hmAFbupMR4SK3omJ
+U6RVnkTJO7sXqkk0MAqicwg6dGph60Xe3wA6LrtLkm9lkMt/Btaqiy+9wD/xkNDAPwDGt6chJCU
TEhADkzSByKs3g2XXcXyyDNZ25zXNmE4yJOG+82h+43RZtUSzXCmaSnPfc2D8FQCTLqbWkKdYMGb
2iozcr6ARUjQ3Q7SWr8LDGVwsOrCE84csuwTtGTRJrfz+Ek6Pe/ZSd3s3BaNyP15jgKOQjCxzpFJ
V49A3TJxFjnxVK4Dh7bB2kKe2YCub+CJ5Nw4EPVIbTS94Q0ik02/VlpPK2as0MrlWs8T0wZG+hjn
aXdgDTVedaOdHtH9uGf4ESAVf08oKbQcB/nAr4ZdV4zds8fPXzc9pJBViCZmhytVe+awOB7MCQIl
aWFsev0oCUrMvQc1j9q9XnrptbBG1fjDKElmbq3sZKV5QJJtwJVl0W0v40AANIHO0z70vZhanzi1
4kVLivLMA2KKlNQqrVsZgZBfsSpqb3mFoQZxmV7juvJyTWCQdykVYP2lrxHaunJHE5+82rgl6nYV
RwUDpdjMdMRaNVSeXM/fnVC42aMxBNCi62lwbvBjhLD3B1g+OIJnEPRELV5Bfp9DLhfnZszwcjgE
LYMTUnbCa9pMqH4bdwiI2ojglc/pG/cKEMg8uuXD0CA/RGbJ/k576CapQ61cJRa4hBUEPh6QBG0f
qQNLygWncP2hjDHSrOdOOMc+nG0m8jS/1L6NUOMdHXCM0yYhPLD1g1C2lzqkTL6eyMOitZmEwVNg
Y7zJyAoktCzlqipNlQ9dM9rX7bDIMfCTY5anv35lQHY7zaPOiqq7orkhsKW8GdwAd0SrE4Rt1wai
zEFFGYkqjGMJAbUq/PslawSYUWevxZ2xNQqD/onVJ9EmnvWWitZgnEFKcIwKXgbIotzcJH/SKR5I
vWHSYADQu6CVxBVBiF8ddZ0O3gr5bbQ3RuW+JhHWQXoEvC3lxe2DZ4wD1zecQt8RjvrCmCvd2+AX
HiI9wolCUgGLX2teJLMVn9JJQvzWZDqjKIvlnp22TMCpIH3H2w2+cVfEjXcMCFw+jBhcPVQTTos8
NgqbFzJjyetI88b6lpZe9h6gvTznKK/ewOORuaSa2TuCaLsIXUs/m+jn///0sf/DQ6NkcfrdofH8
lUT2//gfr1n5P//j8MqAKKo/HCD//PkfB0gY2i62aioCmjsSSdc/JV7kj3nYnekM2vzxPZnsHwdI
+QdtBInwC4e1Z343ZP84QFrmH7RwTNQKhrB0AsiMv3OCFPYi4vpXk4SYdcEXVf+lx4VYRhkdPuFd
RiLRStMwWVK1iRk8bdRflCKxi40XBOSdArEI6Sk3Itmw21eHaeyDs0Ip+kChIy8YmYa+Po2OnzJM
3qesJhu6shQ7paYMILrS6H28AFQCwRLoUbTTWQaXcpXyGD2Oi6DdwYe0aUgE2LMSVZdGZyaPCmIJ
B6sC/NAiiWeykcDA8LyzfB7QmS/S+SwP63MccwJpiBe9uovE3ok4zvjBd+V9s4jw3UWOnyzC/H7q
ob59V+sPi3C/+K7hd1BjHedOUd5SuLbv6rveH+OpedcuJoB2QoBzqKo+Okw1dMcSZcE2cItgN+Eg
EPE8r23XxlXA6QSXRWIi5QrMEn3YYkBImbCxWWJKqOK+9Mcmn5/ZpOMNFjHIEouNIXHC6a5LaEIc
GtUAAPP+ND50jMNZnzJ5ymvRrUL6aKtCG4KDjJ3yTXBewNlWar6rwPvF320Wi+GiiPPkkf56+agi
r9vrizHDwfXhoNwDWh0tBo55IdCuS1bxL9BBgnOLTrC5w+nAWAFHqDwbtJ6CB3WcdqdpmTOeZuHg
h6dB5X3Dc0vkEOd8xZqu1QcbYNWrVkaJRIQL4ELL2hZeRErM1RzzW6IyLJkpWnW7oTzX9jkuvA17
ieHPxEP4BAPoPiJDGHUq6swb2+SsWA3cBd9EHPEAg5rJr+tVpbqnxUb2XdablOCzzUR2neoZexdt
MXWZ2Y515mVVeCVN3ANGCfiG210MJpcNZdWaqPbpKlAMQBosohvBrzSvat7iawfEGx8pobt+PlUS
RxQx9UjmAYMFHLTNFUau+iwU2rTNQiP4NpU276nhpMzRwwg9nNN8VUIEU5V549hN8IrkNnGxI2v8
ZzRMrJsRULXQmzy8FpWxjKTaxtedor4uTDPFgeaVRrTtZupck2PFTSRS9Y32Rbgeg6JEqRhRWcnC
YJoJH6RFjTzMGEc80D/dPnY1/Sv2wOl1xqJ0b/Gy0i80w/qmY/3ikVayqPweLNqwAvNB0rEVkZkC
NzlteyzPuWv5dPnLhSRkFoU/9lLgfs/6YGtqjiuuwgiqmI/2GnXIFI/2YsfuwnDDaULewuJLhpVV
ahnSQPJ4yAc0Khe9FjqD92GqCM9sI0OnIKWriU4/R4an6YE8NyZHNfgEPe8mHccvpo4ldDIK+UWQ
8rXXcdDfjCjdjmOnEn82KnHFRcE4Z7jl+DBqsXpFMB2dwVdOzsopaLEudoSip3brXTqQc8AONBmf
dQ6XJI2BJjYXM20PVEWIpyV9TBq0tteV4JHmDoGghgvZLGmx9KX3XpuYD/2x1dj1nSh8ixiyvqkg
7rd2BWdoxvF2RfdXO28nmV3FnqSUUbW24CeNSbxo9WRh1HKsLF9l0A6PKTeJM2uhXvgl2T4Odf2q
iZkJDcJ7oUQuN6h17OPcYyVxu1rS3HLTYztZ8sUVyokRXGKVc5oY/EG74HRLh7WHyjLp10bC6G7d
o/M/4/BXnHPEL1OfuTp3DS1hcIxjZ9xPNllWYY0VdgNjNjjKxkiRDGh6hSoC5UC5HLb1V5AC3r1t
dcTRNo3H0DK9ZoiOEWFEAdQLN99KzSVTcpRdeWfL3jtkZToShS6iL4UZCg5G84Rxq9N34IWZDMRA
lWQTuegUi2RPlIskIzAcIFdWA3N39PkkNFmrfOKYXrUCTpUaxTMRzykmqFDUOwl1gRZDGl1orHun
TLeNS69hfBfKoPf1om5uJOv8VaX6wM/rwh3XfZdUO3sIxZXdieTOaLTw3QCnCjMgSvpN55reYc5G
2EDoUPZdLoddLpR2Xnohddpg5gXKFnAbfjlk8UnJJVLHsIb5TWmIK+Mki24y7AlnnL+u0SxCimS1
pE/Hkc58Zt/2DgR/YcmScrKvZ53SGgD5UK0rgn/O3baZ8kvgJSMOuiL8BgNM3VDeBXdmSXuSpwMr
nhoabFRNLZAJoRoessx+xGGCrlefXdr/U7YXgj4gQH9D2+ZouLHD9INznY2Wc0zrmSmkNQ/HvtYE
XcfQwR8cG8G5UjFnWV0RSM6AcqvQpZy1Wq9onxJ7tnUY0N9Ip8k2URTADplRvr0jHovCC5NE3leN
5sIyrpsZhOpJIdecU8cjlF+1VlPA6Z7y/Qjcvn82GwUFSoDH4uDAXMXLimWNd8MS206QrElcyOFz
WOXFDJQOcZlXme9WX+RUtCy/nOvxcusu8+yqc5svqBiLlTHnaECHSjuf3bl7z7Clbguj6W9rxTa0
coRMdha+1HOF5/jVjDxRY5dBQsrUTKf9ktbRlmmqtVa1TaZTJwS7Qel0B4BZxqHPkO6BHutAT8bR
bhIFK53Gz5xFjN2ORRWMV7Eb2jtSt+LzxnYrrmZb3QdDXq8ztpO1yqdgT3JgczPIGkKGGzh3Tez1
5GUOmBUzkjtdpiMHF5ouzBYyx3pNUAwgJwKfbDtMwU319r02/b+GRfx/cawDo+i3Bozja9KEr1+H
9/fyQ2X+58/9qMzFH4a5PIqObRkuATcMXX+YL0xISQZVuXAlSNjvQ58flblhgD2UHqNDh83lg/3C
JXbEWOYxVOw07FHg/Z3K/BMYhGBgxJWG4+jL/NKFprgMqX8aQstiCELybNBEDdm5lzU7tvIUAW39
0mJ9WlHU0wKG+I9ydhe4aiFl6A+QX/QjcpQna4ifu7LmbDsvHKO+Q97QXpGzhwHMNpZ2PfrYirC5
dS3Tp9ZlqdK95InUC6BnE2NJm6qns4kuLbW1OcSXP52XfkyyfsaeLJKkf506vn849AowHYk/xt+y
xBj9/OFihLCkHBYCrnTsY3pgvPAtr8srrCjrv/dKYhnQ2S7T/GWgzzHs4ysprTacHnaH3xjUoiSZ
xIDep7bwDXKAfv9S1udpHGQUVlnGhCAM+cP8ZJhhf0VUwuLk53b/xQkq1IVZ/thOuPpqzzgL+kXd
a/cw4Cu79J2+a9a6LXrw61VI+21Aq9iVO5KIn/lXd3mendBjzb6U9ZPShkNhO69m6AtZ2tChijd0
utO6tDicoSI5TkKx1sGq2gaWTgUAQdmCG7Bue+TBQo8GH0PPq93Pz1UVvViVQ6WUgDX//TX4RTvB
h3c9SUqOTW62ZMr58XoH0gmJstQ8v3BdjDOkWWdjtUZUhIIHs3XxVGY2m0iP9BjD8tJFFH32NWV7
/v0b+f5C//qKAZQRjgFgxmJ4u1isjE9vZArHUWUKQ1yK32dlVBUFkuY8uapZYNbpFyIZDigsOMSk
h7qDk4+JhnRqZ0cli4LPM6+JuLhdHO6Mp3ZUYK9zrF6yCax3Km/+4s3+gjhFnsAiBG5hmTSzhHy8
anns4shmdIJVZcbGw9zL0Yc70eu3KPpPnNTumq44I6x1P4/2Lqr0B+Zv9aoTsMQ4ftcIRXtjhl2N
MXdOQ4J6IEChRFr9/n3+cncdhtqkNmDJ5VECJfdJUgGq0rGjyNH8PkpvySmottQlAwCT8XJYKKlB
A20sHhh62rSzofG/9EiiJhTpHR3b37+Zz7LHT+/FXa7pTwskXAojxY1AaEtOH7kkBtMz4C1ajDfN
XfOXL/d9Tfr5C7W8HuN+ncB4GjNoSj6+nmMtXXzwV77VgidAkIqFsq39LmNQN4lbg3jBLYL2wu8L
DZVk5kRXdjidQZ59cSaswjEw8I1Cp05Fkj+RTkkLjxyZuLmbI5obwKXSNbz8EdBLdO0xdfPhOiLn
nI/Ui2If25xcSyOvaAWbhDMUxoYYgQNYX8rEHPW9ENUxReu7DShzViXWs30LyX5TSI7LMiNMyqyV
xTBrvvr9jfi4mNM+Wi6MSS+KvcpwgN19vDCw8lMEsNwIGh1k5aptXF6Msesn2en3L2T++pjQK6Ml
Rg3JC5EJ9vGV5AzmD0BouLFih7FR8p5LAykquT+wyq3O95rwMR6HW1HNZ2033ViT+Ry42VJ8By91
wDhPNl+VM69yPdnXKS2etj6NRbr7/fsUv341P77PT3IuPfDojZckfASzfZyMYdskxNaDC38K2KBB
qveMHcoeP6AW4mEc81M9lhPch+pJzQzli2HWLpi0kOE0VtaeYrQ/1U2d+TGq9D2O4GCnKluczxx9
H5iCFeuyai/6AgSaKDsCkVpmxhpdKL5qvLCt9zRacAvCzhPmShswPQD8zzYF6jnOPcXj2MavQVgC
SCyH6WWS3YNJUe6T9NN/y2gTcHAm3zToKnVATzFvkzB9+P01+/VLRLUjBVUP2zS9z09Pc9J6lBtW
7vlKBnDeEhbBfh1ZZLWW5vb3L0UC4c/Vx/KF/V5zOOR6wruUxqd9eoz1qmuswvN73GLnXTc/Aquz
DmXNtA0sl8BVyow6n06N+qYcfOaF1aDB99hgh7ao/XkybG6KrK8Mb/qLN/exH/v9vTGa5Kml6cvT
9LnsS+OeWCS4dH6cpecTwx+pHebq/i+uwOdKZaF56qC5oRziL8ZZ9/FBqs1FRWmnilYN/sBxaQ7I
KPEDCXIyChfScnczqLJ8TSt5j67wWjYW9M0CJITIAe7PGYn3dZSjdRmvaAKFxxSjIPJ2R/xFQfG/
e6e2K9gU+VrQx/20uLScitNRRoHv2gWrSkQfN8aGu/ioFC0iEuScrQ4524Wt9PuLxIHipxqVO+G4
VDEu42zJrsyh8OM1gtnUzoUqAh9qwkMwOCwxnPLQplu5ecOUfB1l1V+85C9pl8tr2gYsVYju7DPy
033xskkX2KIRIlXBLjMRJgK0Gs9L4Vi+GVHaZ92XMOnvq1C8xpH9as4I8gPtDWGcWodaUVy4Y/4t
phNq4AaJ4rvfXxLxywLsmhTTHgXuQn7lKfp4TUYNJbdutpoPEMGnGUFuRbANYh4XhA42aukZGipf
omE0IZyE5x2WZSLQxy1xY8819CoM2uIGPPc3ohC32ahvVQ9VWEuiK3iluxJCyErik/bK4ovNfosK
QCF317yzgr+eSzGcM5FEJQnsahoxbieyeZ8y/a6bxLOBO4fGCh7RZCsUbNTeqpO/uEO/mOKh4Noc
WxyKXJ4dZr0fr0AeRS2njdDx0avcmZm8pi2xd/JeA9o4pvCqkC40MjyVo0oJveH/oItmmps2m1Y1
N2093OCRZDPQMEqRwk3uQs0G7yBrYxbswKDyM48+rWGR5NwsQSMTi3dFplg92MZCSGTuKgafFsor
cLJ8ZSv3treQk5nRyVCWn6R4HNGz9URb+4MO3wsI9NdwGT/gRLyou8jveaOGnqE2G49jHB+TlOb9
WMnXvm19TGVqhWFk17b2Ca3TruIMshlJVyHQntA8QSD3ZsQ8VGi6gb4fqXqbjWT4JCSIiGZtYfWm
g2Wcm7L8MpBWVaRPzoxWr33//Zfxl03WJQyPQzpBtMYyYPu0MnR2HuQOMh7fMtfVvJdYFYt9BVis
+FFp/ld3UP4bUSzQtPx+xHn5NaKB8nPv5MeP/Nk7cR3Er0spjKDhHx2SH5mt8Clo6gm56NndPynT
P3onpgnTQtI8sR0d1vR32sWPqabh/OFyVqTj4hnwQGnG/J3eCQ8iT+HPtTraKuZ2qHPpL6DMXYau
P58Not6uXFHAqIUjw0i+yGALrZg+6afQqbGNOFTeHVleGw/ObrYxsZEeDTtPt2w21SGJYwNVok4g
ZG9FHrS/Er6uabZOt3LZCeqdmUsKRyOCQ+QVNCtVizAM3NBQn+feVD3NkUx53Ir0LLLScJ/hzth3
WQ9Na0m9qRiCXEYMZttVpdre86UlyJXIEhOhRDEJ7BGmqOv8zHRTcYg4JUOzL0WzCTpLOyGtwomk
Jyz5HFNH7T1oOlC+7mB4b5FXu2s0Qu6JULXoHFEmzH1y+4ojYHD7ER4AMY5w+AEPJHgDCmRqdc+k
DVoqUbZ5/BC36fMw69EpqqO7oGbCIFXWo2W061fbnsODMMHRozy1b20MOyc9is3d2GsL8i5C5THl
4RkuOo1TvU5buU63qsjnjcel2xAPE661qg5WxJ8jls8BDyWee3KLMT2YqsV+3AAOUqXEFlREN4Er
47PcKNMN+qPpZZwL+xgSk8HwT9fydB3ZCRPdmEbTeQISA9mZbiHUaLoyXGgWkOu0hSiEb0RD0Zqm
BhqmchwoHzJmnfckuOpXNl6cG69PU+/MJS2wIVFuAa5Z41SzIJvNa+GEQ3U29EV3sBWN+JVOY+6y
cLOCk27l9sh/agayh4HTqMWQogT6rzkkH9E5V95V0yuGT3YLYWWbk/R63mCbWQcgKmmfB24VkemQ
0Yan2GeHByJ7obzGvIgIc3jR+s7cBs2Q7/JYQ1QJoCO9qQAs3pfAITeydccjZp8eD6qTciu9HvKi
GF0GUeZQ97euUYSkVUaW+dgB63woSqOGmTTUxrWH8PPSNmm9+LIOin0nnXSfeWKg4df102Or04au
ZBRfN3AjN5YWkrVJKtmkjgMfqd92qVHgpEhr/DoAz29Cp3P3kFb0vZ2ocQshMEvXQbKsyKVTnFIz
bdnqb806olE59IwZwodiAMhbJFN/0bVcY9KJ42eMrd2VLOp+LQU+ObfOL9vRuLCmyfCTbpwJ6kit
U1xpXDKmuusagOeJdDUr26VM4HiqpzHE9lXTIp1yjZF8Sd7ZvOnIApnXwAykLxivvOMTfW6ttD6S
R5ifwDOMCM+HOF7Fs0OoXpMJMktGWFZzQ8AssJjgMm4YOcG4CPIDPvya2ehgRMzP9Mi5zqO0eTDQ
U7WABVPn1HhG/TSaIs98oy6pjB23sA+yDLoREovZdGd5peyIKZnlTi8CC7R127iMwxqZF19T4E7A
AYzKtktyXPvJA/JVdZHxqCnaWmdhjFsBXXMPpKOwQMN8gTIZeMe8IIWCwaYVcSuWoOShc5DsIb+P
rLVu9NM9CSSGL7sWlZk5EgQYFkTYEe6QIBAjFCLeRh3L9IolWk82juzSR8zCw67zanyeLPa4Nr3h
aIARuEBsmt+ntSQnDBMksRJuOupfHXjWu4Yx64n5KXEWoRZs+zYm/o3kDeuyMMbpLW8C4zmtKUKc
upXYj9DQBWWptm7clndDZBqQ+XUQLiNSyKr4qvq2uJ6FHbzHWjPtE4d6ph7GfpObOr/YCJjOADWe
xbgbFfHMd5FGAslaOPhs1i0K7vFmwi/Wc1hBeralZpjFmcIm4Ld5TZkYITq094E5curKOho0pzxz
SvMsQxyRbST26G5lJGq+i6EeZCsY2i1NJhqQIWWwqO2dKXPVr93GS06jLDS2F3CkpRESPjx3HCfN
Mih2k1dAT/IWXluqLtMmS4+1C2dcQ13KYV1A67DYeFZgXspzIIkzbBvPHnbTOGYnldTDvSTx9dgW
HkMpFCXlSwd9xoZbxyOxaoYR9T8oI+uAkd+dt/R3GZoC8nTifaLyIVsTzDZ90UVFz7PHh/oG3Byg
URmjpV2VDmPA1VTpubeDJUaFp2cTIjMwbYKYNwDbN43jEJ4M89AJD7hXQ8ifXac8drAijwDp6DXC
UrDtQIBKcYYtXwynVBTDHtceT0GjZYeCEe5+CDyAZtAXxnVcsEziEG1vnLFrt01a669VO9+IHgwL
8NOgu8X2L3KiiQEb0g6rHeQfEN2alTkn9mutJj31gcnbjzVqXG8t7DJW+wQgerjpKpus2AZ9ycya
HbdrfRqmd2V4+j2DzuEWl2ub+EU/tbc48rxDxTO8GjVT3BhNJR7R7GcHFmxx3sAyXMm4VvD4ptPs
pWJcdzboflcmx9mbz82WB3bFMH3+mqUF2tDOWgSrpCnY8iIKs0ZbZ9xKtaqqrJ62cGm0fCdSAWul
qKduW2puNl1bSg/vZYian9+uu4fEyGy1Q3Vq3cdjzHpHy6ktz6tiOWHUpAxdQq5KQV7i4nksUy/b
G3kswOpDrrT2UjN60qa1AAGiHVKvrZCwwNtqkoYbHQnMNJcNusx24/ZN+rzQXC/rmBiYFZMDu6fH
OOXUEN4IU9VJu+eKsMXLziTjtCARlfmpks1tMwvt1WW0hnWua5wIj7tioQFrAH0whRyxNtEyX/Kp
q/MgRPu7t0t9wLEads17k4a65WdqUOTOcOR09sXU5nhAO8sJQbUQCrEO9ZAF254NrUHilA0nZ9TL
eQ1z04ZtK43yq8GBNYFT2RfnTYgmdy2G6otLY2Bf4tf40ol+jtbuCPB03ZqabNbsTPOmBAa7MGh1
9SxpbB2lHvePWpTO+UqfmvjUG8W9O3DwQaQWKRw9NO0PWd3At8j6uPPDLP/K1AGL0RDUT3NeFGd1
lXDP+87uLsakBKDMvJmM5yKBwtzFNF9T202mLVLo6iqO5plHPliMhykSX2zTVYW2vUvqjq4G5x2i
yMzFt4MrckX0Waw2GiKQgyZcdd+hv3nHVQcmMeiHtNgUXYERIppzvnrMPCp/xjxUsSqDal9VjbDX
jmHZnh+YcYYwogse+qrOUTCH9a62W3NVVmmJbgtgyTyFOwrSfaLDnF1xTs23YmIKCJEXfX0yMpiw
wEmthiwXyEMclsAoS5pH1LzJ5rtxnn2f9SThW3muXCvYtyotjwUupLsqcNG2t0Hmo5QcUW4vKLKm
1qs3VWe4/ecwtL6MGUGRAbaPpJifmWa+9xG6bA2R2b4JzB6DCEZitRKTK1deV9iwlQKaJrClQsBC
U2hOiA9r/ckQ7EaPYVVoGUgZS15ZOGvPZlLD6g0UENI9VFumJEt6HIpZaPPkDeQYk6qZBcKno9pl
K9sNSUG3C6/c12wX65Y94GyMECYXXjQ8IN+oVnJIzWHXxFSZWpgfMI+G2qpq43Daa00G1aomlxui
iekNd+A0mQTKijdNcmv2xvyqfjLpAUA26BPtvRYaYjb6D/zu0a2vWYF0ws91q8QvkBTgc8rBI1ze
UNoS7O1dATatb2nKI3oI7ARMyDDl1YsNXht1WhkD36VAm55ddyy/dMrh6XDavPIOPHgUhlEeFq+e
3TV3KDStI7Mk8yobjebetVzUSFbZIZC2lD2xz6pJrvtI83bCLMY9356B7k2od18FavZoX8yRd6Bn
RMKKXjjlMpQeXMQbEzmgftyAgDIXWmyaZoCDtcZRT0zQbeQYA86GtEu5gW1hteBSc814hSDenRsk
r2M8zJZoB3cpwchJoR7IwIlQHFiMeagJIa96U3OcAsbcK7ivpbaazUD3dmEusncWifg1HgbnlLp6
DFBorPIN10wnhcWN0Ai1RojCC7R34BtB8UCkOInxXYyDLRo0iGAWqAIcIyvXSsQqlN2wYVWFpOog
qyWgyAsEAs3YCteKLPD7WKXeV+WVPNo1oYBvYyfjY11KzwTVhNeQIURtvIFhQQeqwwKOtMTclhBI
UYDBaSrM8VAHyCCrOYk3hIell1Y851eFY8cmo0uiF4gsW8jsBbIjpgFrySL56qU6LFy3ky9kAc5v
JIAyYCrBYyxZZvFbaRa4NcZU3XaZkTyZQabfRoPi/Oewh1z0ZRkMO9PIG2wkjtkmax4s5PYYoFCZ
RXUNrFzJzZgNrbsiJxa/37TO89vJmpFFhnzua1QM7roQpUV4nOM5B/LH02zdjW360IQWUJKZ4sKH
vj+Ha5T+4VfbKikWC5zYlXSyXV5bs8JbmYcH1XrdlW0EIUjhQbvzZE8eapBVR2XxMaiMGPb0SYj9
cWDDneapvzMH5GLc0IDj17MTs9qOnlC3VTH/Rcv8c7eJbjySDHp+nk7j3F4isn7uKLgWF9Yq23mH
FS2+Rn3ZXohwEbHmhnMeMRfcGYsQ+vctrs8taLQpsHCWZiMKKBNIwMcXxYhfzIGzcCxClR6pMtor
+pp0oHVirMu5JstomkhrART8F821zyOS5ZVpm9BYoxFOLs2ncUwp5eCkGfLwyi1hyMLJ68mQtzUo
BFYyw4wP8q/fP+t/dZPt37rPfzaf/+d/p1Yc6iPaV//eon7VfaWp/17X04d23J8/9qMdhymAJJ2l
8SZZ+VEm/VPKJP9gqLaMLzC4MO1a/uYfUiacCcJk4GYaEmasKWiS/aMdh4HddA16hBbmFuwMf8tk
sDwaH5pxrPwu7UK2JHKOKN0/fovlPwMCkSU/B1D+8SdR0yt4MilBnSsIjiC/PedIdvOXn67U1Z8v
8u91RohAPr30p0GsCXIhSfSm2uBwp7QKmwTwHZnLSfA2VIb7F8MBc/kkP3/SZaBGXhsVL7odYZqf
xiNx0AMbFED3+5gYBlUF7dqjOeSPrplAzSifdBXHO+50tUnTDjum05PxCVDL7+3uCeljRVqLeiBH
4GpqnZOMx7XVpXLV6sFjtZj3kwqnUgSe1QCBvfn9tUL89svbZ/jquqQx8V3hC/VpjTPrrHHsvhJw
wVqGGpYVk0hBE4+tVSx11SyRg01w/emPXRHLG92KQF6aY6UzSWWP1rvqKZnpXMSu/qyJ/BhaYkcb
4E05vcRIDICD0mg1DvxbMyN8Ml/UnWogzq/Ar7t2p+pMVaZ+p+U6ws0grfFOp/7Uq5UzX4NEWsdE
G/QyvBEy3qtpeGsYXCQDoKYu88cAkoaKkmvsDjdlOqEC+Dot1gmcqy9jBDnQmTAcUDc7p6L2KMkN
XNqe2y2R1jbhes2S5+PyYUaY7aI2rB3hUOrOTvTrXEvpIHq8slX16RFb9/QaZy0GLri36OtaNkoy
/GCW5mzHzI0WmmoXXU61g1SP3M697vwv9s6kuW0kzftfpWPuqEjswGEOQ4IERVGyZMu27AvCtE3s
+45P//6Srq6SaI301pz70B1VUTaxZOLJZ/kvKaecTTmGUZy7N2ByHByHUGq4SXs3DoEBPLQt9l1b
Ol91odlgSePynQOgnvRU9p/ps32lReFuzDHSjpW5DD+rvhP7Qb0etWi8HcWCe6FwkBzGW7vcmpa2
7IueSwhrgSpXqFulsKsfcZz8iMPSuoKM7sI2qMetYan3SltBgJwjJGWzL6B09zUw8HAAB2izNGaL
UIwK8X5dJQFFfB6gXJi39Q0F2GbqywfU24pfeiT/q7yFJrv0Tz8nUg3aKJYODJN00L7E07lhqdZV
N6ubPssK7KjwkinWIB2idF04YUWnwtQfICJPhyXqla9RYMoOr1PTToprWt62/hHHhvUiW3Zj3zs/
p8KZP+ipyHyYwtKWvhXvI71MP6NY0VNcBuL0n0Pt/8e1VBcs2ZPwI5Vd/iTf3X7LUWz5EOOplj89
0P78K38eaM4froaGisHoXVLjJEDhz/mS84eE5gK/uhBG1xzgvPxBVwccZMpj8K/jTLP/YEqoMakC
nfTrELxQWXlNdUXaoT/ZlgDgDAZLJlgEYHAgkcyLEXCASgY225q2M2hv7pdmTNdoe98Y0L4Q9Brt
VcSg2zOkfQ3GOdPHeEzDPcYN9MqQAvJUNNFXuTY435OoVb2gq+z3BXbTV6VSdTewraI3jqXnWeTv
9yvD/hOgHLwgpKWcWd1h+T3uZkN2/VB0AeESeKISIFtgJdxQbAb+kyV94fRlCPvGq7o4fyvLyKum
0uddHLb4bwMzwvSkdrYLArubpFdKj36asuqRSl6lmvluGtC+tWo39/Bs4RypzGY3L4UpmW/5qnRr
m7oleofDLUG74u1Z+vQu04PwBpHIGWOpkgZYU4hdC4eqgmfXZPHHNBEYene1QoCrMmd4xI1sxomk
Huu7Msqh7cKVZ4YuQsYptrNCETveZJWW73NXlDc0FuObBtrhl6hHMV1FzO0Qq5m2mXOk+ejub0Tx
fR4iAVE99Bk5YLPgRoMXjqr4aIzldGUPjNMzPaPRNYXxNrH770njotTpllr/CAlaULAqyZbwJn1F
azQBIrP0Sy35aFrBu34e72t0esjzvTFTHpENd6+7LMmRNnA/tyit+yam181sCG+OLO2QLOFNnkMy
rij6PWdO6Dr0sa+PeKEOjv2ty4fFG0ZwCZqb7PUB2oY2zO+oSs0t8qodilbwEBUc2PYVXvXgvgIN
BdH4tqT1t50aQT+kRNx92mMzFHhhU3kD+EtNCdclgu9UcFi86qLekgVNXhVKaZlFG2A7O8ZGG2ln
FNOcosYhyg0PBkM7rrors7HE1zFscPoK4bFLOgoCcnl8P/auvuerQUeovw6Q8ZMIz2HLlO+ByeNw
P+UTcqK5geeb1W8BR1Q7ESkP1GP09hta1I3LmkRlGb1zexCQg65nBzeSaQ5z3taxAmZ/lvC7OAqu
DGhwa0eDzVeXNL4A2ZiIq8CjGiZ9eVCmGsoK3bhyGNZDlF8tegN3Looz8A3s5snUlS2Q+XLVO5So
6FHO12MYifUUd7Evhvxo2MVDl6Lu5momWnwOhEvngZLTa60e0n3GuzRHA+21dNhZOsKLaa1jdGcz
RcSpktlBjy+MG6z6wTV3JqspXZB9y/xUFG26bvTZoVMB+UvP+gTvKYR4giwho6nJ4mwn8etsfK8W
QlwrIdwXS8qw4ScHtbTqqN3LKv3AYETxcGn1p9H4AMNn8lJnooU9R7TZ+uTWcibwp/CJvK6ERtol
AvSHovnKCFMLe7KNYcFm0rAPMHP3Gh3/qzp33scOKOx6nh66KWYQhhFgh94qogOY+i7eyHRmaj8t
Wf3Orhn/2KJ/j7uJ8xFRpHgLTG5TiB42Pi1XzAxumlTzELx+YCC30SZ3W0f5d9g0m24BxIbixbCu
tTZa42d6685W5KuQZeOkvo9Hdw8h4N1kh/skKLSb3KoVDQ+q2d6GAcJ4q1IvWzTbVZP3XogPU0u/
nizwvdIKgLUxyObCHabvAxkgU+wGRQQo+O63KKNNJHisK7g80IuQD8E5te+ZYtRVtkW5BuR/1IOj
ZNy4a6qY2X6KCAdgzdBr8tS8dwItWGWI+N9IdOIuY9InebmNRz8fST3U6Yh+4/Usxv6hQYFyu8CU
oz2nCJoDaktvzY7nFbpd4oA6jrhy6755Xwd5fzf2WNrGJcLLuNfwB5MStfuFrlXHvOUAmfFdNc/7
RtPnjWmlD3ORdPsUHSS2oPEJ63jgEpWdrjELQ0lEo+wAWNrcarhGw84KIq9DoRVoMel8kpLOgzuO
r0J7or+u4MurhHG8scWAA0fZmo95oeztYCHe0WbLFyfZFThT0M60ll0zgsxFcfVkhwWieXHnmxbY
HmVI013rxl90pUFSNg7usQ8sMLQJ0Fttp3GVDtGwGRVU5HOanrdL8xY8n2Tj8sCnKtIQ+MRTgCTi
ohmiKkakKmmr7kq3vC/j3MI7EEZ8HJnXrx+Y6nN83fmofnali9QCCkARMXrXd0PYw0MMXBS72mGF
lFqJGq51tDQmJJMJ1c+VkbfCO/iNlpP+POn+dQv0CgAfSnaUa1/UsE5ZYEbULuqOaGVXDH01hSK0
ZRYvrT5R6Eflt1bTD91Sdbu0QP8H8UoUnwZXXIskqK/pUlFItOWjBUDwnurM9dKokXhN2Mu3pr3A
kFNF7CVDFu7ioCt22jS1G4hKBMFC7Jsasye7Ck9wGkGSURCt8ya/5z6QbkVM5fVX/tLaPn3ci5o3
MTIoz6mp7hgOBe9hqOvreYZ8DrVwWb9+qec9tT/frC2hT/wfyCn535/kYeqI3RaitCq24/apsxF7
nE3jK/OUwmvM6vH1i/3GH2MFaRr+fTXZ0HxyNSXGh30qE21nxgOG16b+Wcci+ioZwx9q3MBEtdLu
ro+yCDqqtuw6ZQKAkoK9Qbm/u3ETaOWspIcSqZ9Z9bRN2r7b94HkTk5U2zGCJ8hejQL9nMT0tBmz
X7qSjJJTRLiySeXXygQ0jq4cJpmU1DI9MchTXn/O533Z80sl42fGYUPy4XHldn7ymGmO3pfCObKz
ahMdMisQ61zXUlI3S7kDRsMAra+z9I2lfOlDfXbZi5xa60qCWwmnUzFMCVMxf9gp5q9jgwBV3Ahl
X8zTbQB9947hRrmxR2bNrz/4i7dAUIIJiTKhA9ju+ZNnQp3aKo8xVY6zBmtqjQK5vYGzyNy3MxXU
6q13piPIN3XrK1G/3r5+Ay9sZ/fp9S++HCmThR5BaOy6rP+qt/F02xWBvs9ri42thG80A2Sl8Hcv
4Nc6I9dmssaqBr/s4mmjEchNh9jwztTb5KCOSA7EbdC90QN7IRrwPv++ysUztbrQhww3tF0O6mg1
8oDo/RqbLoev9/rbe+lK8lEE7hJUq78Fg8rti2WxxG4JUBQaHfVzZrlXnDNvPNGL2+TphS7iAPVH
39FJMzhNKvtnPKJthX627/YOCmVzr39Iww6fuVCmx7VMlLWqq94g7rxQMhsCIX4+UaG5LrX7870a
RNNY23Gg7zBYrHYL6LQHACLqFegifVfp08eyclMvHEIbDvtM+hZG9dquM7gyufJNYaDJzF4hYpJd
FNdpmH/GYSW7U2PtU9JY5RsFs/77ZmOKCgYO5SR5x6BRnwUVpnxpkC8NtwbDCm8SiOeRiH2kEMTa
UpabybWmTdULgGJADcMRkCFFqLKNGf17mC0iCwIL32uGAtnUItgkpQqLgJqmVdSZfmR9qqoxvBK1
lKfQjWvVHlBJzfExHGYHg00F39VqKcmtqqBGKvsn2H8Vm6A6hzA6GIe2bd+ft+N/pi9vCATb6ITR
THry7f7WqvJLUoqf567X1Y///q+//sZfLHL0mUy2NJHYgl/OXvnVqbL1PyyAuxr8mn93nf4avZjA
nXFEwKxVQxjKkoO9f49ejD/IAF2E/KAmSbq680+Q0M9jNPMPboxmGaeDCecJVfPnG1mzma+Y2Thu
khCHjgkhJ9gaHeo4KtpiCg7Yb5hRPI9q/74eFzQZRvE+Lj6cLNTbFOHfERpgm4BSC08DkjbsXHrw
T9bghd4SueizE+F8LY4vKY9Frmqb4uJEQAlUw94eHRGmmHTgctOsZNzAS0rTqps0CIebHhU2P8OO
wgvrxv1hZeVw1xZTiiadAcAD+2R1DywM2EAq9a1gkIbNZwOIG4eLA3gLM3F13wutPc4jMurrVrUB
HCY4DwC9XjIMPUa9/KkAywYskqoPudPgR6XbJMjXndGIuzhDBWPdxksAes02fnZWVNJxGBMJF8z6
Uz9BfAYIGnhpQaumDLLlDhkMC2eJGoeLGglatC274T6xFuW6Rqxk2NVGnzI0i1xupbeD4DMhDNiz
RteR6BlmNtKIGNkBQ0Zr3K/oUJQrYHtKjSboSNnaGkAzV0iaNqecEm1vt9aVHbIfVPDGG8UuDsVs
PcAkJ5YhYh7sUTVdrmNAjnfTlJHMad3GCMTArKV6VHI8Wgmh94mxgFM27QO0nGYVuzgo1RVppu4q
zQH7tmgt+h5vEAGuKFPRuPIUCxMrZKPSjapM6R5XhEcUqwBATkZKcw6Hc/J/qp3BJrFIkJ5v8UOI
UvT91KlDrcnd0Nef/TTU7tWGRFNT3s/14FHFtUxgQAHTLDYYUrhXWk1HIAWhsA6aJlkBoDkVSezS
FEv4B/AEkK3LXZthuDBkNiaBUYuitMHFNStntuUIelConvRlw6dThN9CLb3JC1SJNCs8jgFbXW0z
x8NpyadFcF+mOEvIN5rqFD+BEX3ogHDhVKv9MHuIBql9VZcJ1CBczURFowRERrXWWv0+0FMg0bn6
I7HyLYOKGuRg5zPuPwnNSjcpaDOwaqchcG6Zzp1SNz7kXbgPqxRF/0GeFVH9IQSSSjUDVGq4joLU
70jBI1RMNgxi2XcMIwHLBJAQDolukMAnRtC+qzuwikr5WAwJGHCEe1b6mF0Ld/pp9VXioUVvbdNc
gsImUE0osWGrAwxj0+uAjRanAFSIFieMdOdWw+n6Vg+mI7LTn6dQs8DQjmhL6inKvoHyEOjhYU4Q
Dl90I6Cz2wZrzYZzmAaIClnhdQj4y7ca7TEFlhkFAciTgMtlY3wMTMNHwAE7MQa/OHuW8F0RLs4F
l8blQ7mCiDx4TWuOUrkXA4LZXWPOxJmbZe2KbgiOzbW2PHQKVXXQ2g+j4EkLOz8MBetgiOrI1Kn8
lYP953B983BVEfHhbPvfwQ3/U/z4ln8r/vWt+PGvW/Shjt+af121Gf/aPj90//ylX4euq/8BQ5gD
hiMN/RBcHv596LogIaCIo8OBAL9tot73N96B89g2ST+leIEt6OH9deiChDCZNGKcy+AbcX74RP9k
QPS8JrXhROHizJ3BS3OpJfi1Z+lj29Yt/JWp8aMRYVbMc49FhdmGbhOZoqBByH3JTiTdFZTS9Ih+
Ee0c5NrW9SCQpyr1Ve9gORZMyOgGY/xpwCdo/eQlv3B6XlQF51uEtyVkWsAbId94fov0/Mkc0rDx
nRxZAQU8ObY4NRDwyEXRvEZZbbq12t5rQzgxqcXn9X+6AZjeGq/KBlj1/AY0qmVnNDIYpFKRT1+m
YS0ZNCjTBZtISin1QUCX26XnENX9KlG5j9dv4SJXkavkoLqBNwhoDeFc5iqtEWtNhreu3/SIyJKq
PfQRMbB+a4x9MQT79a7hEXMZCaVCkeT5o1pL0HbzXNZ+UcKH6UC5be2ueizr3N2iCBivZyso6ccw
FhzG0V3bgSgOyqTdmwwNMcBxFAg4evANW7dRGgmK93rKgSa/C981p+aqL9BwbnIEOpWKcIYZoE0r
t6rAUkM5o5VG1tdrd7WC5EoU8CLn2vqCVseVaFpOrbhGFazgtKOxOzMZX6KbOfi4jIYUf0cYRXXM
rTGN0+3UpidVX9JNO2THQskdD/4P6l3uT0Yh7/XF/vz6CskM7u+aX744PgncSoGwAm0CBfD8xdlL
IbIwrivf1EELxtP8JQGqCeWiQ2JTi9dIqrsrux7cNzobl9oxXBilVrJ5EAJwsQkjzy+Myr9dtTTZ
faeNso3DrO3KdpZuR2KpeeS4KPDby7AmHQAWPvNBFyCA1zbuels3m7RNhmozmmUumkx8U2jC4kgW
MFks63H2swRYkJx9p7RJUEt8/Z1dgibkvVvok7iAJ8As2pdqHKJ3jWG2o8zHgqTwasU0r8Nz1jQg
szj25Sa1u8zv0Iy+JfW4GnDLkPNppD3lAWld/QpAxrQtzYMlfaFB4yI0qfDQ9szTWBmO3szCvr9+
37+vNYJJEHoZ3GtM2C91DzpkAUUzcNuj0kh2DUEBBYP014turMpFv5P8DFcJ7R91luQu48oGRZyw
TGxQLxWieg3PZAhOmR8MbQU+3mUmJ9U5X3++5y2FX1eR+gUk4zwcAef5liqyKteVOsv8aLYL34Yu
sEeg9Pj6RZwzLvP5JwPvCGEHYHsqLUHtogBDP9e24XpnDI+zU2AHGF5aLclTWOh4O8uU1lVGzpYB
kdZCXeiTmtlJDY3lvsIM0Sz6iHOHpEk1kHLNaSMi1RqKXdayydMEHzV6m/FaL5wHxUJ7D72uWw2u
5BUcKQRfJtL3AUHPraKPiMAytthgE+ULNEzXpjpp67h2lU0Z88fayJS23txa0qMAizsJkah2cPVe
qBVRH3FW9YRc7LlwrVDywwQP9fzIrYytprWfJjTLaFUxdcJY6Zgv8dFM9Pu8WoJ9UKGbY5AeowdK
Wt9HLtpmxU6ZXCGpNe42K+NTE5JX9iUxl/kq5dSAGZ2jsr8xAQNuXWVHa2APGmn4ETTHsh0y9wEZ
NXZgl3LfOpQ/Fzx0NGgb/KAfQVC761FG73mGD1FN5N+G0jjeNGH+nhpcLHMT45sqZsKyZksHrPjY
hpPjYdqBcKCFMzo11tei0fCa63MkJmgvoxO/cBAvlrKxs+SkRjz0EHaOl8P8XcE6fo+Ux08r5fRE
FP8QjiNjaYfAPfZVu0k5QDDZwoE1bzAXQYXSM4JGOtvrDkg3HSN1o422xLLCT834CL6jWMFPwAui
5QTOZoaAuZEfzKz6kKjuQ93mOZ9h03l4REc+yY/OwTIY60xnaYq2eW/Fi0APv39HguEHdnHEAADc
Qo8SjWIjgeBOtCFw4ajWTZ1YayeztnWdnQq30YB9DNd1hzdrnp6owlyf4WvrhQYP2o65Sal9E+jS
ya8YsKUV9m0alJRjEGIpLSgZtR7oXlCxz8GWKzgokl9BnanW85CeqIXZsawsmrMnUy35T6I2Pw14
H7PiFKKakbdACMMTPoNsAgjCKzTTHE+JysNkU+FhLxCvsyU/6mWevevp4KytQXE+MB7eLkl0hERW
7qIZGpyF6KPAtRU3Vkc9WAlV9XlhyAxuWwsd5JR59Pq8d+eRbSMqKAIt2qurKoqPTkDOaIb6ve5k
ro+j2tER+Fym7HCVIQ2WiOylZuG+A/w67MkoNjDF/FlzHiqXRCaqRfrrE8jZYUik3bdd03qmZM0B
blhuionF6mOZbSj8XplXmAdE7CCMpopVK/hcoH4A54CNfhgFUzccCeJ15bBpyy4+nm+c2yWLoYW9
TZAT8un5goCEBPaZHgMk3E4Qrysm85kdVTeli/VijDnP2sb7YLPU9pVqoeBhonCC/TgCVsk0HMoR
ebwkDRJcNKkEoT6doP0RsGxaBAvPwdZFokYucC7Mey2rH8uKd2FNyam2uOugTo7ncNHb6ambyKOd
gUhQJCEXaCldO1nhVxYueY3aUc6PvESKAfKhhXyKLBkrKCaBjIKTQ1Y6qQcy2UFkVk031lI9mlp5
OJ9OrmAXC+geW2QAgz3eQ6dZBMGdlpRblElSmOkoYTVtUW3NSfOIpz+KjGCia+zcgqRrxYz8Y9vy
HRsKvzsQa9Fb54VgVNHY2bEjv5LhbEbiYoUr8O05KPUm4SXq2kcaUByMvXWrlYzN68y8p97BxkXl
U7Gc5DgrMU0ZnVZHBonlVzURyYTFinXYqRw7Vmnfnp9wnNOT/CTq2LyXRwHS8/ddxY2d16DS3NsY
SUOgDgHgj/HghAnW8YXcNoWTrwIN3bESFpNIDPVgNnQkqjBjlMtWaQSb8RzpHDTI1yYwl3I2iah0
spAdcsd3rYMR9qTw/SZ8mUzwF/6WYyi7LMUlt5OrMynsPGCfhyUshGcmfIdTtUz7cySOJ5mIWWHm
jfBr+IJJs+bFAYoK9w8LvcLiTpxp28qOhdOyAH3cV9u47FFmRcH3tnRF6jlmxfHTEhHYw/y8PFf0
lJtqZfIsXZbUJtjg6Tr7egBoOJ15kXKHTQt/Es2sewRrqu2wsFRjyaZrXAIPwze2qeylOANLo7sk
FHJ14Z89ol2vr+yIqE8VVPh1yA/WA1XBOf5mMjpKHyK/SFV9pbglHPqkxcOeCABsWQfGzq42ez4g
e0kPlsVda5LBl1QIVp/TYXSCs00/NumNEmTzRwEPbmfnfN1Q/vQVnNrjea8UXX5Ez/aE6+NDIBK8
PMyGFtLAq5anDURdDsaOTwC9B6jNtpV6FlQ8tB0g/xgd4jqQo3ukKYp6izYwtDyriW9H+OR04WR+
btpbmI0Qv6qSA2/u6luiZH0dG1F3ZYz0jFozt1YYVk0eJpHuNu1HZ1OWLupXNfqBZTvO4wprEQBn
1RIeI2jCDem0EW8HFQezzomRRcU+h9ogPpV1+YhXd7edqKy+K266fNAzXMFEASsorLoPCZx7nzon
9rRAVR8ZnQNJxCCajFiPvahXA0/XF7ELs3prLpRJ6HXK1KAaoHeakX2n9jlOBMuswTIFM5dKbXNH
FnBpRJ5cL82trkZ4UBsTbWU3PPZKNnmJjU0L8yQdGdWl3abAtK+Xhs+pKgj2ssyDMZd6kQp0ieO9
3UK9iXauAjsLERH4abQq12OZ0fI0pDsazkWYEIUGOQpA5yinF1zMvLFBa34mCwlbN5gVcgEFEuoB
4ESGfVedWz/CEEaspK+W1aBb4w1OusMqdfTWRxUiQSrKCLg8ep1Fx48BXue3l6Jfxarab2FX7+md
fw2zcPyZdk20Q/oiwD4niACQW9/BoTBhmL/3WE6D4AEFINm+69LBv0qpO9SGtBiSa1rEdGYFnTej
1AQ1XGyhb6Xj3UITWW9HsRlCA3KTdaeAqWXeS5ooQPSh1L5xQtY0jG5AmV3HyHKxCcePqhj3MMuc
lRMjSOa6ys/KYvPZo4Z3u9Tdxxfqm9kRdZNaReZ6Me7DNNGgJ4pDo2A7WISETJH0rdfEqrKr40h4
7ZTz1crKZ8F2aiUWwlLcxyd1Kt1tFJE/qQGRpiyi+aPeGbVc4QULeU4go7CC04hYxxoDj+xTUffG
tbGIxzM7QlHbxwIfdvRY6uZ7uLgG4Q0xtcWy8X8qSYIjPOa2Y0rGJKjhMAlSMLE7x3FDSQ+yC1yH
BAehmt1GGUrXR+GXvyUregCghAOdz9SpSGQKod7rcEjxj8EGvsnZt6XcohTMvjGOR3foHT8thvvI
YccELrxTjAgJmhwF8j5ly1ul++C3lkpZyGm9ckmzezU6pmb5KNKeHNkU9+0yJbBTbHZo1E7781gp
FnYPMim8K7LxUM3qVwrIeisGs7luhdZ87JX0C5ZctyH0iVqb3f3YENTQGE5vkpG7cciqVq3bkV3L
cLrgG3CT9px4g9NV29F0Hmg5H6s5P5BgTHcLXnBkgfpN1ZDXKKp7UAFtUjdCKe60EdoGNo+uhhoY
jufbDqkfxhONdWuMSXQnGrX6cjarKEiTN7IznxnsMKjBmCQrTkmCxTuF08x7xjH3U6kXDQoL8fiQ
44+06hq2myabV3EI4A8rTgiUxLUALYhNWkfTraLoOGJargzSkvIyDBW5d9uB8xvJMbVlqPwixk+q
bMpdFqp+IFDuVV0mE0p0Cjntm4ZzqC3M21Bnj5xP9G6iCJPpTi33asg2uQ0M4LwhOQHFNQ4M+qxs
FG4YzXfOzGIu8U+WVcsy0SCyYQx7fdg8ljlHzzD247uw4pMCd8FiF7i3A6YO9jOdyZUrsuldanXp
+7ofYjrt6kYJGf5MdkR2R0W/OZ9yYDMKLNYZsYB8dLzQcdUDQj5EfY09PEX68jWH1/+jiScXpik/
gIcjyNqyxxtEYTe5M4Jm2djyK01+EosQxzwYikPGqXfe/dSbmw470T3F6okmBE+VWe+dKfYttHoL
uvYwxDm5kkr5KRtVprEg5BK6w41ZsyJzKs9AOZTpSzghLTkUQSGs7hu3wC+7c/HdVjGB0UR0O8eE
MZqR6QanNGudmt1e6dERGKrqetaWZWPUXH7OkBdJIL6CS9beZc2AKKzB5FBBQtIDAO5u2e0ccdjZ
rYfCuD+fvQgqtOyk4OH1wt98qb1Aj1EDUWIjzCXV0Z/CoIZksIcwmVNfKSg6kchLVmbXPdYY+aDb
mC/bRVGZsfWscrdkyzbS8p5QU30y689OXT0IJ4aHjE0Z9rHxsbeFsrFs+yEdwjuhTcsa0pSyA52M
9gG6L4gIDViCKyhHOR0JcBd+PDcyzzUS8/AfcZdHJ2tCwtPsrHs1XZCiUzr1oFnztLeqKT9MikpC
N8ikFDGuNRaLMfVSCtyzM8m9EJD7VYT18O3e986PRAma66KtEfkIZRYYyfkgNa9nhk5wlarq9M9b
5EwEAHvCJEHaFirk81eaZHGUh2dufUvJ4dhjsG+Z1+4sjaQLyO6n+Bx46eMzouVzU0eSxteX9YWm
mOMyzMDlCQ4m/dzntwDTEA0mbA/9xG4NJpxLtGsb8qTIqlFXVpIGoedBMLSM9TfaVWeFtItGEuU7
uDLE2Axcoi4uzZcNfy118YLEsHZlEtQ97IDU9/GImouxVMjPgPbcBFiTr9AauyuHfPjgVpqP7Yn6
+PprkO3Wi3thBdCH1R2UNuDePH8NvdZjAFyOqW/IICAbBkbHJ432aLdpTOM+Domur19SPt7FJemP
woRkPCHUX8SWJ7BCvYBy2dCU8nFkcjZZPcNWD/knNSsfprYZGLQqo1eMTQa1Zch3r1/9ha+ZOQE3
AALpPMp6/sA5L1XHfaqDfU0yltLQWeMN076xw194rXSZEfREK++FMRWnqQbLyUTyVY2Ndb8AUWyS
6SuD+NvWzb7MHaagrz+X+tKDIe7HxoV1THdfe/5gdYEC9YSwqh/GSYtvIQ3zGKDEFSGBVs7oPEQc
nysIsfT2GK3nUzb7w6RW6JrU/Tob4h/LPxQelu1fOUcEKSNBlL9tLsTem9jFEtVP0uRrWZnzz1/J
b4pLfYka4O0br+D3sROSWDbq1bDVEHm1LxrBvWYrVlCkre/E9m0DDdcrFLPYlPgrIwrKAawO1jcw
KB8rkV8h7vARJ1llNcTjDbZoPzpnRFnOjJc3EHqX6ua8BhMlChPAEjtPxWDu+croaITMIX5Mfu4O
9GkykmerJtT0AlZEr2lXfVkfIppkn/WuqrZtyRIp6NMgY1E+qs1EY4o8DtCppkFQLsBUWPrtqAIF
75Lku9XuzA6eyGKQgnQ2zgT6PdyjUx/iBpOHfQK7ONxENp0aGxbrGiEgD9Qx1TbKL4iHZNi/5l0C
o0PW1kIgzBMUgOEC5F0G2cqSY7vzwYbvY3P1+pJd8qJ5N3KSDA8RlRxIf5fzXBcDUVTTReWHyLMD
2q5DhFRCYPljTl/MrtEtifSY1kFurLphEOfHpLW6lhbYJIQ2rdqAk25BuXFfiV7ZmGBBNoPMmxdU
O7ZtHi6Yt+YoKDt0QjH5eCuenRGWzwOaDVoKYWHkthhKi4vTjF4Gcb4h2SQpbVeJ6yhYaqHsUNjN
Y6+BcMR7/YDobbNRExtF3izeNiPcwNdf5e+bH4Kmy/ZCzAJAKOaFz9IUaBN6NWB34Vdzs9dGXoxE
vcTFYL1xIe33SCO9UxwXvgbAU/sy0jAFCWrsfys/QAUlSch71DmVsmhdccoW8D14fLN5ZXcZN/Zy
VQBbX2m9O2NrPSD1VUVHBL+PMfo+Bzun3kspAc8gnFLWjAXFO/3tA4QrGqcZbTgFA7Y3ZnkvLRoD
PAagJqYzwNku5pAFlauG12vlR22ueohpxegJTdU6b8k6ob3VG33sf8h66Qye6evoNOfOGxHrAkMo
dz+wCOaJmGkYv6MZ8J9u7UpVK18Y5U8dddM1r4EOcgYYapzfupp2Aes7Xw6ajcvcV4cp4VwkHnqp
4lpgaRXzS0SP0wrjcDmWXFotXLtqaNLAJaGG/cQRgSbWu3wpH8upTG+snOTeEOGxctQZ6Tk0gQcK
bwTRUEI0UCuCDtcON4k+vmFm8/s5akspeQbFqMNIGMnzTd2Yk52jpVb5tjIDEm4rRJTxgYRFSf1E
KxsEmcjeGFq+kPBzNXYEDB0AyjB+nl80I3UYy1pD/yqhsVkjA0khPsH9LI0J1mRHPzXEI1NN+6uW
9tS1q9OolD1D+u3KJtdK4cUFLYSAQZHXpYjAsgHUPa0VdYvx9abSKTEjUI2ebnaPGI3TTZc9kUKl
cNIYP287W0az2KRfK8cvhtbHqHMCZMtLZH+MBZB5iEvTGtj3xwzQFUaiDPUqvKhXC0OHbWTLZD4Y
Xd+UE0qAnvdnZYjzbKPMoHMyc/suK2Er7rjcJJhQBF91BeXAqmrHLfD54v8SNhAcAMDDTBgRj4tU
s3KQv28MwkY4d9Ed7BKaApQvW81ErJfGcskZSJELvvFI25xutslCF2PteGOvZbhlN+PenukRnWN9
ro2MRucYcqzRos/YddqX82jTqFQXzE+Ofynj7tsoYRFej7S/J7BgY8kuQDPBMRCX6vVNaDCCRefY
x25xXvUTJKPclp+EEQ3XYePma9dZ8i8GDmUeWND0jTPT+D3+oihjmzqYF4A26iWEwnUm7LinovRF
xhSt1JrpTk3p9zsZnXC9do1PRWXmODxE6VUPIRWeIyfkpNDHjuU/mWlRe72wcy9c2KacXUyUbAZA
FuaKQu336Vw+ItIYr8/zB1obqkKfL5iSTRREwCQrOQ0wabInNCV9kcse3yTbuUsV3zf1aHwSmelV
wj00gxavTGsxt7PEvOShe+J/DD0yRfwEx5z5hQPAJrUZN76+SC9kFugTwt/B18DgVLbkW3xSZgzM
6opkjEq/ZkhxHhDkCPh6uspEqIr5DJcuQ+kwRXdOpGK1IO2GjucnhgfV1XkMswhAtVXj6mtO6/tM
xrfaesCWNmYuXn0pmOh74cwswkbQ03/97n+Pe45mkVHw3QvK1MsSse8U/DVpvPhoE/pqwHxRhop0
ph157kZlQf5G1Ds7czzNYvBVIw7oFGXAHDjYLw5EiK7B3KRUgrS2q9VcdZIvwnF8nsW05+XtGQoN
xBeQHIBGejkGHDp41jpEmE1TN+nGBMyyAqrxVvC4PCjPN4dCGOosnIC2Kf/7k8W0ZizYFZw8/Tiq
AXA33ANy0EwBGJdl8q28/vpfuJz8xEEq6SrFxG/HDlw9SMll6o+m3LVgWGeFhMpo2TvUjm9lkGeZ
pufv3kSSHFFCCWTD+eBir0bNwLSxiSM/iiLz4OK7TCxsbG8y3C2jJqw1x5SMJJa4aISozF2MOuZO
VZXi1igN+/No/D/mzmw3cizLsr/SP8AEycvLAWj0g9Fog0ySmWbJXwj5IM7D5Ux+fS0qo7LDPbLC
q14aDSQy4emDTBTvcM7Ze+3Cu6Qk0dmiPxOeOAXK7uyNNQ4qGFmjW7or7Sl365Kou9ne1F2ZXJci
RUE9FEw3l67cQeOkGT809jq7voOHmx7THrANOepqq1UmCTmuW0OyZpvztYrQMyuShC2IeDhO4bij
I6mCJlIW4RqRuELLQV57n51bcjfg6Tlij9GeZ4igHGe0lpIknUXnkjp5t4Aa2Oal6277mN+ITe2r
sartjFH1dzMXtV2RA8VxYiq1cMUDZNzo6Ag2tNUT5tTbMivEFQJViQ4s89KtXahyV9ZWctWnzTCi
tCgzumShgA6pXGAdfAatDsnV1B7qzjpHcWJuCadsTy4eJNo/i/EFE57Yg92Wv1lo4teLOm5KLmFw
NKgLkeHhQvnpXfZWv4SWc8qjoHAPn3WPyFGNlK3OZJu7VGoW+rlWqiSgZ7SIdp1BO9TrD7DKrC0+
CJv5Rc+93mkcEu3z+FtupoKALGVjsxhtWkqDFcwa5m/C2xiEl025Y4hg+WtXYueKRXucq9G69tZ/
Pq26cxebj9JBbTJONkoS2Yugbwrcw2nr/qbh9OvhheyPBcUK5h7DRqP/8qqzcxpSqMzdxc2ybzAI
0CL6zer9dfP8/BIOCkPp6fiPf3WvUIVJGgGRi2AgrcEQ034dGqIBs3pBDNKRrwFF/3dV0a+XAr4o
eye+Ijrs67bxyw4Vaa6d2nHj7FTlqIDhV+PXi64Yu+EfcAUjPQ1+9rFq9NC3uqz9TVvL+PVuDwFu
vSCTZ0lnFUjaLzflGTblkBaVs+vtWmMun7b8tMWyhcTLFwyld6y9zt2z2z3Sdsj2uWUPT3+/a34q
4H7axtbPQIsctpCL6HcViP95l2bZNI7ZaPYutTNy7GbVHgpLNBTiertsmiHxCPbR23didsNbHqR1
W02oTsvOdB+0zFm28eBgtx2tdNcDMHjVW5NHqVpud3G9K7C634+QScGZOHw7XexcK2XZ1049qmcz
QpVAWqOR7EevuwiHzNp40PLfXL6kyffw0/fIBRZwFr4yHPzElP5S7M9k1FiKI3TXs6quR0EAj15H
hu8N1XD1+U14OL8v+hg5123MbzB4DH2PaIVtbqAdWbiCbQW9CF/EYXTwotjdOlVKeC16LhAX5keN
FuOgDXiNexeYTBKJu8wsRFA3yXC1LDGcCWU3KAAW4G6TMzDVBhwhCb5ZQ9wCMroXFD7VOmMvtV1R
E3PZrNQYoC67rFHt7cTf3NX2gMQiju5nTWp4R8b8Mi/189Kkgk2ov5Ij/qjFIgYqUvFwYyZO96pV
f5Ap/0sOmfjLScvjpAmPptKhFYwv7+dXpva8MFmom3Zg2Omd9FrjO+lwnUTjA8miIXgEi1TIDtJ7
Ys+YWeh4+ams3UMGM2EDVxoTF/NlqCAss7Qc4hMMGVDnmGAYL3vLiX/Fvh7ImGAibJUHGkk9FpvY
3mf68G1Ja+9Elaf7eodkT3attVMmKeBFYza+ZlfPAHT73TBpjwUN6W22AHf++0Xza6AdeE+DmpsV
SzQZC/gzF/JPV5s06WabdorcQQruzy4ehS/mNDIE44NjiyNOO+grt9t346TthFYAkFlUfDLSzgU4
BfE2jcMeF1pVPCXRKu9IWHYZqBRIsDLVduZY82LagI0bxHFbveEdIaQ19Y3ETUEgu0Ywk3M7zbGB
lsB6GAfxamkGbGDPeQjj5Du1Tg/cqelPRac5hwjRxg0APffScZ8M4pykBFI+KMfLuN4WpHbvbXoD
e4uR347BJC86kTHB5OXiNz2cf/fuMLmwaHqz7/zlUjhPScyMkncHX/kHbgP3sq6VBk+VT3TS8Js2
rvOXkwvCphQo1OjkYi39Vcxc9PSq9L5jh0VOtSVx0ntFWBafaji1vr4U007oYXob2118Mt2GDa/h
+mWMPPRpUNzg3TH0mSa+DF54PUb2TbjIdmeg8pls4ujSaqtm1vWQInnlz/o1d8Kt5vFeNinHhzmy
mrm2f1StWu7MCjGfoQAVGlXVHrCKGUwOp/I6bXU7yCIR7WIk8U/jkDf3DPzBMJvxcFcnCbxCE51G
Zhm0uOxFBSQADDeIubwjE9m7Dn/Mwctmdo7F66H4lM51g7viZtTZlts6y3bt+nGYmObrRXx4kjPv
VjtwzGgxyW6+NJ10Vyni7lWnpbemXoHIBxz2RYQOgQEA4KFXxpW285qCtjMRZDu43WxGjmEHMb0g
bqAsiOU3C+3fvC28JPRiVj36ekr+vNO0tp1nRYQq1sWoyB7C82tgoPlLZVVbR7Ig/n5h//XrMVVE
kc4Vi0Jd/lql21mJMnip5C4vCi4gNasB2Zx3RHPkHuJFqt+sBuOvF0vKtk9mBQUvwzxv/UR/2klc
5G3KjCJrh45JBMmMMtTAp3OdFAyiykWPTwCckyBqbQKD++bQtGwXNhCsoCpY/M5YMgoYndCfqJwh
c3FQ6QM/arIJG0QJRrevFd9KYlfNfdGyXctyPdxlCC+bnNUL+SrvcOIN8JoYehOTl8428nf0iwTc
2KhC0yrRthG9yUdoE+1xsd2bfIizHVOGD8IXINaN8iNz8ncz5rNrejftZjdcTvS1zMDoJxorVfMI
f46dSmPn/zxa64yrVoMn9BVFmSB1CsG9gcgXjQiryfM4JWNewVMV5/pp7KxuX9nraUpwlB/V3Euy
hHOmL3pgnutanU32j6boCVNZ2N+ygfd8UbziWdO0B1TxnD0Z226b1eo5STKgZCVnZt7wgWoHsyUd
l4Wo+5gpwAzc5Z+/m/O+g4TQdkB+qOYrlCHb3hyVPyEt2MzrqZvGZnu0ksxhsbBdJMbIfaCbFh7i
1B7jTndvDMUAv8/5pddF7qF1WKFlzB8Bfks0dugBlakQf6P57vZN1Da3iYGKqOzCinOBb1OTRno7
aMuyrQejDfq5WiOPQ3y85NgEhP24+3yxn+zZ+Vag1/Wz3DKPrM7hGk+NCNjBeIvl7O4HlXNlSbhG
fy53WPcLbggYYprGKUBIQ+rHBc8/9kRH0c6P43N1/T/zfa5f6FvFKCSJkPX+n//9xxdeCQU//SL4
hBPc9T+a+f5HS/TDf5oX1z/53/3NPxAHv7F0GvAEDHuVl/yNp7Ppy/dv8Xv+vy7N+/cfbfxnJ+f/
/Qf+sHI6/1hpw7T7BYAtMqW5XP2Tn+AZoKvZJTxp/Ir69P7BeQpFl6Y73k/GO/9ycpo20AXgowzO
EcIwPDf/J05OCotfbtJIINCX4xjFCAbS9FdwiYqKek44lI5NkkTpoV/a7Oy0JChtRdiTljJNfZ4e
irys+41Tk/8EOKDs1ZbYMPNIXywNoKw3xyUupX1j6DhkNgMs4n6DpiR5I3YWmmHk4qAJyH6IrpbK
xugiG1MP6OeJ6LaSskiADM31G1yFuNxWRkKIBKd5RB0NWdEN8Hc6z+3Ilmp0DoA6tx4CoAZElSWu
9bVe5owcYkoQ5rUEp+Rb0hzcxV9A6N95BhDnw0Tc1uKbkz6bBzUR6tkgC0N5PGC0uAhTwW6z6hrr
xyyN6KYEXHHHPa8ON5kawAwY6VhLX2kKwqcgxPIjTvRqQS7hstItS7Puyzi08KOFRfSq8G+hKXHD
mcwqrbvUKbnRKC7L3nfTGg6haKzhPU7b6ShdWdDXqu3kDd1He2hCi4N7rHSdOYHdbMfCtI+G0aFq
LrmzbhCvmvZGYFZ47GxzfmV85HabkkAI8tD0KjlAj6VcEEuT0XWa00IGdeuIG7Mwxptxgq8gCjD+
arGS5VYkRW88mJxRQO+sWUU70FXCexkI0DjOCnBrkHuA+vyljExFSJOhkVSRRwSxHlXbSv3srs8l
C9QiyBpM8UG4jy32kPU+wnQ3xJ75yuwTL+U8rA8rPvZdTOZCWY8B/4x1AqauDm7mFvPZwEQU+YUT
D8Y5clwmz5oDGTIdU0VwxQoN7/Xpvkv0j3RWxHVkyKhG9jmIsnSH6SGZm0YZZMn17ewPc7jccjST
CygSifXB6nZJZsyoBxGoAwKyRzS4Xu880Fglx0kzcDauyGotJw3LSsMHrlb4+/PhxawFlY3NFJT3
A0Gf/G4UxbEcmuM4ReVey/Vine2Y/qphDgQNvJvIFOWVzWtzT5qCdrSnIfOhEPDoYGHuMRutVug1
/wqxQaRZPtHA4AVC94YCBbiVBZCpHEiEyGM4u6Zuxd8t8ov2LklrL0kny9tBZPLQD6uJyqvw/Xtx
v5FDG50zt3YCqJjVvdNY1S1zVObzmSTzhgnbKijTw6conx6yDj7pTNbLce5HQAmO01zVdrzyDcgC
diZBtmGV4tpOBTETRsaFifAv8r7DnR3mAArLMdugpzI2Q0grwej6G8V8WKFjp9OSkq39mMf1Zagb
lC36Mm56/CXcnuPuHMZ5yy1l7riroOiSRYq0yuQYa/xoHu6pUonLcrSHsqx/9H1yydBXbGSIPSXv
CE8p09Y5dx2rLHI1hHr8DrPtrHylm1uzGYlHa+D9n4EOySL8nhuAMfvSu3DS6j+aNOFNr+pTbTvE
nY3E/egeHNMmmz6csjv1DFB9NWr85GuShzRCJTWEwdFmyfsOeYPEyS1A+YqE4mOZq/Y6jTUHUxg5
gBT6kz86DlrcWS6vGp97l6bhQl1mqT0gi/HGjTMU4a42PqAvfrC7ML3KZeHgycgHqsPGCVxrsgLA
8+Vd0yZtQORhtGEUvNyiW+otcKCTPMRGCOCBRm2/JTRF6L5lwQ2fc6UNMCTM+TlJu2ozi3C89Twy
buzMyQIvlvJbp5qPWgmx1XtXXU12KHaxAd6Coh5oRTYUFwlJFMdda15NKEO/VnVZ7nRqV755SLoX
q9MjxLmgC3kT2Ak7pDyBnJX7Mnpm9L3OBqTIfzpVL//s5/wUbvA5xPtznwcdBzNKynJmwGvZ8Euf
sqoaFaexHh9dsx26bWiMhb3tkmo+t3hMnsaqs9jjKpwFoyCze1NCpHoslTbTPcmN730E8OuaLqth
BFkn0TCY8PMwR/HTR7xvcEyN+ggEMnZCCmgGvAX8U9KPj7Iv3PE84d8H9ZgtI9k5IrufcSEJAqs8
e5CnOlncm2Xps0vskuRoqTpc0zWFABlrdu1XdNHrxSy2X7J2JpGnzGYkfQ5+5Q1cLBffh4NNwQuz
9jiOzrzv2d9PoGimXU622GYhKO3A5N27AmpCQInJ3U7kOMhoL3TPcMzqrQ0TFAs8jXSusiDyOu4h
DKFliqibc6tzKzrxSBl9e4SmeXDtRiPxaDAoR/eIWIGiTVjvDo0+y+LasRLyGhpS3Ji4aT9QeM1X
bWtaxzyq1OI3lq7dZ5ldB1PVyXMxt+LSijh6wPEdLORQ75IEtqJRLqtFNjWqc0H0rO+iMT8jkZUv
pVaL7SBcBZZVMRzvypYoMAamtR53O0HIcyzd0m9xiKbzafC696oz9n2MQ8GkJ39bp1+HgSpaM9zr
yqC+kTQ6t0yk2vtYz/CNVTw47ht+2a+wFDrr2gGmbvLOdR0NNzBnYELDVaeV9+bYJ7dxWMSIv4V9
GZL44NCcPXKsZPSg7Py5ceoq3AC6VcfF6ak95rodgjrCFIOVoHxNZ4QGull/hTgl/aax8CstWHAN
3s2zcpTxkETym4NU4b6KWXmoWPrbtpNttNPcmLw8l4JtObqEJ0JOH4DNfM9nq36lH0yPzM0cD4Cd
NcjbeqkHk01ZyunFWyaj33qFXr/PwHLeSA6ylgcZambJ53PU7NuMNd4MEcW3bt0JovlK++uYhs5q
8WGaEAFv/kqp1yJztwcIMkYn954G59KJCR40i9R+EELrvgnUF5vM9IoHs5z6OHAY0O4lZHE/V70k
RyBubnqyd+ENMQ37Igs3utetzrqBLMWNQI2c8/0YbW0L0Lhta+6jotOxsRJBojsuK4fjZIqMw6ir
/CoZQRTz04RAt2lzLbsnM2scfcZcgvzQJkt0CqBVG2dx4WgDNruaWPSJ4L6IHQvlZLP0ymduGt2C
CvJ4nGbKse8gY2eCrO7nKi1e1n7yD+LU+gNXLxLhZlEx06lVCsOISQ8LoS8P9ewt7H4uZrsAHlL5
bEs8G9mcidvKKob7KPW8176lck4Ki35JE0b3i0bawkboTfnAx8gejWXhp6sSjqbFyvUr2x2BFClL
YhB3W+c6zvKh9BtPyQAoRhuYjfk245S6ovGCe0Kfs/Qt7xLndQ7Hj6HuNR2W2TAcDL3cmXPC0TXK
VO6zbJ6+oM1qYpDryKKgOLrFO97W4YE8Yes1nBzg3mYxhPUmak2XUBUMbAc6Q+LLkuEj5lDS3sDm
p/eJEXrvdaumR8NaW1c03TNa+CZRMtzCgfSm+pAH9KDNiOjxjEgmsdjfettKD7XWd/Sv6JdPgeyz
nnO1omnsW1M3f9HdRiOzAyzApgxT4W3MMsxI+EvVjdU741aHmP5dLxp8B3rXui9U7E2HcM/UxKnK
iEveJKZOkFo/zoCj6ykp/FprmIx2HBZv9I+KBzm62XEMsZ5ZEZpFfDgWTTArLAFTeNzENuPgtVds
eoBe9JlUeABkqpg3chrNL51Tz9lhssb465xWFM1FmA83dboQWk2MGNaizGmXk8sdWydIJTrNE9vL
DtWJ851y1rgOE7u/ilOzyfbMpZZnbGNmHRgdsGoZTdpT2cr40tml+7WajO4BRx9NxvWVpHjKCIdt
vIhFWACRZckr3hG/oTd1jWEGbiReZeofcslIn+8iIs9oW0cXrAOwnfREO8/pxGbv6DGSuWnJtY+u
t0rsZIXpEZba6vJ28RKaeAw1hxuF0e1tiYX4SptxxqOXmuoHyO7sSARvmPmE5Eav5UTnepehUYW3
YlkfZjIMBEFiFgyKLsForxJnCkJo1cOmSTP1bKB2HH2tnIoAIYlbbThEx8DL3DnmdtBOzPripTu1
TeqdaVZ69zyf8nbsDG6ddtu8FWo0AjcUJXhgLi81DHlVvxVd1alN4XZ9Q7xnIgMjGqdjQ57MXhTs
ANtU0j7xU8Qq0Satp+qM6Ts594kZHZQmWnczWpE4NCWwWD938gFbcpp1ph8nFn2hsum8Z0xjZETI
ynky4FV+pY4RFdS7xLI2CjbczKuQNLfNPM002jo8WHMzvpq6/jBonXosBkWCQY/25wzZQa8uQzbF
h2Ex5TvW3zUldM672yQyp6OSI2DPyWxfeyXajynS3WKrjZX7UOm4thYrjZ7nMeckygYnPoKBjlHR
Oi5RcZjTsh0XYe0mqtA17/paK48xHSZGBiJ+agiuuZpL0TVXGRyKFN4plOBN1LjjLekMzdlxsTXk
MPNgFhTTBidAe3TswX0DqzM9NFy3pq2B/fhIqWRHO2MS+RENftHsIPMV26Xn7cT7OFfOWRnMX7bY
CCCaucO819Uo3slPbY4QCapb3cimzeg5MzajxhqJI7BqbmAxzclo4yltumgN4RZJLsdvjoi671Gd
a0i2UrdoMB4Sfgw/kUONcnbAvFR2jo+mX22HUjNpQMjR4VqUzs/RmBJoySMmI9Dz6pRauo5hfazZ
ksOG7Fmi+6JhEVvNcRUpvX33aMk8NWBCTHS29VwQXxHh5t8gAVE3LsHEe4Z4q3+8n17rSoTZudAK
m3e4WffNOiHfcct+LsA2MLK6QH7mFjBQCSf7SVkz9wunWrPiuBUhhDGrAPX2yMuce8umVl30bWkW
cWpdN9MDbCYLJsMiyqJtweTxhO5K6UDogPNfjfmgRUegN00c4B2dv9Qe1za9T4unSXnqh8xG96hr
XvkiZRY/e+XQk8Vq6uN+1DXjWBk0VG176o/E07v+guvyIzPGmYoY2STm16LMJ1+17rCdjbBFaii1
PUeS2jJjoI7TKcYK06HMj2imIBBz5DcLrfzq66vl4+IZKP9MisjIs68cdA27OWeQBBJkeRimWb/N
6c5sTS2rNl7YTuSUTGl139pe+K1aavTyslEPuT7NnNlt2+/6qtOoFzuR3C80pRiUx/mL5WnDbU6g
xmNVOyV6sAUbFM9aPycOCjuvrMObNtfl1cCCf5w7rv6Nls+HyJkgTCVT+VG5TnmWZiMfee25CafW
lUFX+zgZYfcadYN1KmxjOTmLgYJUiv6IOh8OQyfKvZmpTevIB+7kzR2ybXUCtID+pxfVIbMT+03n
J/c1FFAOqYHkbkisZhsuRnZd92VyaZ3Zp01FiCYEkWgzmvQZiHONPlwrfgoR/R0sWQdFkwtUdt7o
V9SZwSxkcw2L4M0b4JOorB33Xuw1ASMjXPs2eiPa5i8eGxbt5Xo8yjb5ZjhMBuhWAFtr0nqD5p37
gNlfmTGhVXDN81PopgRXlHHiR8aUf0ENXN4sFgnaHmnwfMi8PSBg6Q7McKHddwQt8P20OyexwHPC
26o4PP++jPuLKkKXFiJ1xvGWYYG5s3+Z1mtsv+XIRnI0h8Tk2rne0lxRRbf1WFqjL3mFZh8lgrGp
iXLYZXPvHAHLhb91vP1l0I3O3EbetfZW+R/h/uJNafoQQynxEccZhGQ6tN1XWuMjbKDB8tqz65aG
fSEa2GGSsBTj/TBX1H8QJzrGswPrO7aG53GCp/wyzGYT7YrUo38mYlmod1uiCN5arSZfFC7cC0N1
nrwt8ldXgdoXnw25YhyMr045laVvUjW+0P4g5KHrxIM5jNq3Jg65ePeEIDu66NegpSh57RKxmuEG
68bTE5oCABdeCFbnRUni6Y4UlxSKC9afYF707AR6oNmKuRJcJER0HrHd+h1ypXvHKeYT2mJx0+cR
xyHc3J2Y8ldTVPpdZ0ZXzkjQqbk2LZ21fVl/djJxhrBDaui944CWq7yvP9ue0WcLFLGX/lF/NkZN
SznfoUS5l0lmzf0SLcYLQkKlNgoQDe2v9cI+dbKHLxa5CREB+fQEp4f3lNRcbvfG503f+7z1k+ZC
BZAM2fxNlg17JxOwc/pZJxhdJQ4h1oBNh1fSREq2lhN0k+x3JAz5Rmaee9RC84kBSX+sJ1LNSSWQ
QbbMklB2r1r1CtQsaBEoX9y1kinWmgaTPb9c6xxY3l0cuAvnc1rNsDuMkYporY3ctUoCyJtsm7qQ
e1M19CjXjqjPbqJ9zT+LrGmtt8gJsL96aw1mrtXYrNHeVlAqZjKWe8q12ovN5cGWbfYmzbx+JzRC
77clPKIJTLriIckql7fdQn25H8mbQS3oqfq1CWu7/K7Fdp8Eseyjj05gW7r8/Xo1/2LLoN0CsRB7
oMl8goA7piF/nmH2JUHBMCv6Y8Jd66bWpgh4TaK2bSOyY1no7lG5TTH6YV+FwdSQ4pdX4XU8VXhW
NXvEAdtFim7aokVbOgBlvSmLbLyn6iGs16JP+srIuh42USLUgzWCeahN4lKiORlx5U5nhIbnEa80
KIHRGK4NDHUdA4Up/IbuU+wAS9pHO1bZHaQ10ponm5An23ioRYyUMbyAqMOcHUYIMkS4M/TogTUu
bnEJ31CYYc/WLH1gx9MJEaBf13NkK9c+xImSMDdsLqicHfphqJ38YtupfsGzgZavsmT0iPSs3Edg
dwJSIrRoQ57OSO8NJtYtm4u6uE0LkIWbTEfMUQ1Zhn3VGwI55dnVovQCSLEB0YECvC6/O/2a3Jm5
PRdJ2V1MbyAiKBrDbSXSYdUW5VsPd2qBV9sJ32KmCm+TBLjuj0XV7MIui/cJNv2MU9dymFmkHdlb
c3QoXcmSs2xUiLNsMDXMRTp8L0KPyLGc7Ks9lXCZbKfWm1ehJyLDjdOTim7rTXgXDl78tYD7g+4y
SoIwLLX7ic4InYIEWnEih6s8RRlh6olxS2tx4a3k0pmn3nRCJKt98WDBBfxzHfNht7zPktQ16fPW
6kmfQ1YANtPNQAAWsRL1EO9sAtsxxclhN+M0extMI3nU4tZ8ViniR/y3euxXg2Jrmsb0bmm7NVDI
EifJLuVbjtMF5FjVuEEAmDixkT6VeoshBn40qnfspdZVInQrp4ixw2ssUvredmKdde2l4rouqgfP
G8Hb5DQo7M+TCHGXdWdrTXQzEixd0N7R+3CTYpl1L2W2srDrdYhkfM6TjG7qFz/8nDPp68ipoau7
MNNeJ1FhmzOV8pI5BbBUml+Nz6mVx/zK/JxktUhddgygnef8c9JVEgFDFFwyrggHdu9yy+5Wv0V0
95KDQLYU3WJMNvRgPce+W/04EfY+ma7iIsC0LV0H2pu6mfhvKgNh30Cta45NDvluHKVxRFXVca9W
BNlvem+h1QSbKksPqWu3zL9pYMhtQybzSfSC+4T67OlOa3uXAJlXkpKR9nbRI6CwVzJAWCBmymTI
Sa5UuKDgHzxnVxtVv35qMC9MSk9TzIio1Sp5qLO5ff/7jUr+OrsEAUgUrWlZEHERrq2zzT9JLXQ6
8xktUefoRcAjvLPKmut6uPv8Iv+jGfd/L5P5sSr4z+cQ+19D7X+Osf/1y/9/ZtxIn1Gm/Ncz7ptk
qZr3nwIs18n2P//avyDFFg5n3L5ovxx+OH+MtSEUr+pqlh7eRBMhyb8Ixab1D6IlsfsB/9fhlK8h
J3/EApjGP1Ct2oiFkerwd8kL+c8h/x+Tgr+NsORr/CQQldBUUYbi3mCkLfngP78ak9Eu0KWK4VAO
VsWloKz3o1TFvkmNW4Hk5piEA+vFoDCO+h9maIc3kaRT9adH9m8GGOTJ/pvPwQwfey2GaIvW2c+f
Q3iRVhlVOBxYEfmhc4ydJTLwyL7dI786MQFV9iUE1dUndP9mGsQbMwpvUu4gG9WIx16B1DMPC+dC
civ08iRS7JGJ20nKJzxZtnOqjZqKAx2pJbu7uZ9xqhBmJQEFMet5GgmTmcHqTmEZpEV7mbLpPGYg
LQTdKETCYUtztIjOWloXkJyzxz4RTdCK6N1ysmqr0/3eSvbFGh5cQ/OfL7TtXcTwbFOvbVs/ihlB
azjDsRQXEnNWtGkWb3iwLZOQ19hmWBhVi75jgLipJhsOeWHsZBz5s3lTadXOVgKi44uWLfRX0wco
wVdQIw+mcK5K5sXYExgJqodpkm9wap3NPGW3aLD7jRUN0p+syj0ImbzgNbtt3OXKnuSPKk4Orv6F
SLsnOtfMtJybRjb3dmjsyTUK6HpsR9NUG9PhYwBX8ec+C1YQYZUP3xMlbGQQwsDPYH+Y3hIeW2nS
m1lEwY6I9GFylhN3hBvNxXIFcSXfjIbJ/d5+KPLo2Oj3ben4eA5sbNLjg5qiC9o0+oZ0qx6Fl4Es
mgMAPp09XqlUPBVAMDa6ZtETe1Dl9DEU7nFq9bcFIsaMfWsTj/UrESy7WSYnUwmJop4WQlgFneM9
8XptMgmnlBoBXTwp0d0QzPpwG2nha1gvp8EW9yi1UWU7/ZMhUEYZ36uiuG314dQPE231PtpWE3Na
pgGojs3Sz0LuHVNH7dj5poWQWadMcHg1VWw/MSLTNwCcv1f0v8FpF9uqTUkJBKhSpN03vSMILdRJ
iaKtQfMzoK1NhRe/pIXxaBUvTtMs5xSH08uwFKc2s+7CaRj27rz2jcjFPFqmvcWudwKQubVVeSAM
+dXuwx+ZVt3My7mWT61V4LVUGpEQtX7HScqlc1yOdZS+WEY5MhyvtkMaX5bQuR4mtYVxshukOFvz
XePWNzhO/baJOWetubqm7jv0vRFte5tm7RTmQZR2nLVonTvaJHhIZXZw48sQGddlxWXAO7Yl6Xzg
pzdsB5dkZb1C+H6pwScvJNiFSxKkY8mUUDOaG+UZDSsnyxHsiWAmx7N1Ibnm7k5lF0b+/lgbd0SZ
bo3K2uX68kyD8DCQ6dV08bjBAPpCzplvafmeV8PZ6mBtjqLqLaZ4eu+Hg31b9cZVbDpcfJenZDDl
VvXOG51fctdpnmL6A9jKJaOYzo7Z7oEV+eXiOicSWwM05d/swboYIb00KzLPnt6PG8V4L/GiI/7G
L2Wmjkkvv1cZqSMIXnERAcEzq2KX5eVBlvp4zewZoamDqQ/M2v2q8/KXUD9H8G6C0rg0RHPrrc6T
ZygX6drRrZObIinHLSNo5LXNsLNmBpiaLS+S2ydBHqgTyvoRmdF+QFfjJzImpKqtv1bS21qz/VzQ
u7X5P7Zmmu1yJNbbeapQFjZPztKcw7J76+eiZlbex2gB3edlnB+ckXHU5MH4605VFG6Gonmkn3Ze
hHrrcvnF7Ey6UuG1Pvdvas5estkp9l3N9wGbYtaqoBkYczqJeT9b2r3n8ngKBJU0nK5ovCd+DzVx
o6C+IaBt0oPjjseRUblpiv3S1B8iK/Zln767Eb5F5hl0WmPzRjF03pSqnnxDuT9Q5z9PEqEg7ZmA
qepOiZXZZEGVRciSbVqjPLiL9272AKdU6/H+dTrRdcgWzFR7Mqn4V6BswAq7JVP8RXklFl5sMFbR
l75etO9p5rAwUKDE3fgf7J3HcuRImq3fZfYog3QAi7mL0MGQDAZFcgMjM0k4tBaOp78fcrpvV7f1
tE0vr9nsyqxSMQJw/8U53/mB/vkKK/CuDd5R79vzZOr9oqF92DZgFc0i3E+h/YXkknV1DYKSSdpx
4mPVguBEXbhBZBQhFGGWr2YFsabZ3lLW2NfrMVhbDCJ49fYt+os1S5lrXSK4UjIkCyXWTrbu5ADF
ol/oMbbNlN6gyQIp1cLHJu22BGnVcCL4JJN1LdxT51v7YrIfhgblUP0gZLtMgJ/tCqQJdBQPwvnR
WclzkDVk1NZbxkcLVLTLquAQ0otg08pgW9ZiVRbvssnPme++9rWxH1N/1ab2YWja3dCXjErzlYGG
ns2j2OvRiPwrbheJ+1QFwwpa405F56poXxXT+mFIdxAv4fsab8gVL+bQo/b3w4Xrb6M2AA/ZBLtJ
k7PovL6LoP2oE3oIaZMDI+pXz69XTsp0FQBy7pu7Ie0INT2OzK5RCEWg6upHbbJOauTkKkexIK0Q
wLDjXp1RfpXqEPbuunD1ixy/iTo+Y3FDb4LWXbe+UZmykiMbt0uNA/Ub+LPoOzLzXzK0L5Zoz5ao
d1ES3pHQrfWOoB+n9t+8GJBj992iNq0URyc9ZuPUZ6caeQmLN16Rl0o5D2763nvQ7fr8PcQj2CTx
sdO7i4va1QKYsjUDecL/8gpuFhVLwUhpPHfgb1WZXSone89CLSVL1/703ercd+auGNWJLjMjPcha
xr6xy6wG30D30U3dGxjQdYpqA4sek/T8M7PUQWoAAINFTkSv5xTECIPfbSAHZSmpujHLn+iJXGuL
Q0HijeRY7jA0tRlur27djtl2sE5T7O0HM73ofvTVez2aqTBiR8D9WTBFHxG5kMMmE/0EHZPNo18d
Qzt5rHMBGlPcuowZEAq1KGt/yFOeHs3mOQYPYFXapmxidArNDtEwAUQ9PubIZeo0metc8mPFV9xV
eedu03HYsZT8BZzjICOWkBUfYG0e7cykCR3Tvc+CKWzSgz1io3TFSz3WnwTeBuvWtjOgtxKsmYaU
Kmmn5TgvCQgYeByY0y+FbEC76TqFTcGaouitJUjfh4Q0HpZgYEBs51pK8YOFyk8z6F5JOtgCRMoW
rl2/1AlpxUP8Erv1GkrnUpBpHY4UM9O9Z2necfACxl5aTnarSvA0QbNVhrN2e21phqd+cECEy/HI
5JMYhmLpD9+pzJZgE9oKCiLu2KCNLjEb2UitROoux9s4yU3RwPvKLxXr8JWGj561oeT+iNCed7eO
q2il6FTjYTv5z6FrvoaDfos6nfPA20Z0o9GcAIQmLrKvE5bGsu6Oo5499sY1s3iAgJNO0bumy8VY
Gcmi6BAHxJ/D0O7EYB6jsg5BeI4Po98AiKvEt5+/SN5NVYQPGFhAaRa7wKeRQHUQtQSjq3CRencB
u8Oz248IKqGu+93KCXTGDdQPnea+Ji0LRVW9VFMIDVrbd+YBIA0QUo4sm5J0DMRDlYknI7v3zjos
FGPwrkkqGM+uAJidZc8hQrglYUXRg4/zuSMtntKymQgXzpNT6QlooY4kNhp6wJ4NeE0NWfvtGwvH
4qVqyYOeIqeDnNaq77xlcuHHSNfrxOp/9UORrGGG6FvHiekdJhEg5OgYsHjOuEaQq/8UeSofPSsT
B70KnRCRnMh2vlkmLwWO0jW5Tv6N8TKfpNbK94xqeJfiAWbwibZ93cJafIDAY3ZLpDlyzeKNFzaN
9sY8nEKdqH/xV3o/MaJMnyzc9F3mqBYwZGw8FeQebgw3bC+eBKGj53F20DW3fqLfoz6mMBsXfZ03
j1WWWHePf/FS8yvullgOe91oykPR22ywNZZfbh1yx03auAqU4e1DdCYst4BuMP8qq1NexOGau4bF
M2v1vQZh9GTmbvCAy6p58FELgYTWaL3G2udzZ8p0arGPL3NTnQrPhFkeKj1+whbmvui1zsS8yNkb
MWbahGIKL/Y4FT8IkvDPzI6qZxod3h+vCbNPLxbdm5ZazoB0U8YXu2+du+PH8uZbunpsBr88GwPD
9t6Ox0td+PKg7JceNSsrvHrrT+14C1j6PWu2rfpFHinzh4O2cDNWBLnbTK0e697tIBVP5JVxYb5L
J3J3WdF5WNbG8TOup/zapUN7dQCFX9LOiPdZBLkfWfrszIskcfJet0E1y8qUun4hrBI9Qj+hKAhM
Y1nYcca2Kiy32dxgo20jnFuGCHGTdMAYwkrk1WK9thw5nt5jJzXP5dhZiElc44AeE60SwmIMc9G1
GN9H2RFEj5Kqb1N1YenMTVpmqn9qeDKVEa0alW0LwlhXXTX9ZKfL4HVoOugWQX8PNPHs5dNFVMkP
Ec2btmwvIVnYE3Hkdou4XIyHKorX7GZJ6nKdJWKFcGWTr+agyGOH+zZo1b5XMekJhv1LpFxmZvxh
Q1JAO7TEO7xpIc3A9h24GGxnZH5PCu3ZC219mwf162gWdzO395HunVO7W9nGtJSxxb+42/YJ3qv6
xTBaf11qzRvWUblQYURFmYl7b/fPgWZcSoXGjInjIpIJAXPanoA7XIhhvy+Nyl45pPzusnx2T0/m
RXnoRUw7XRZxvvYryVB7aCAEUJQ3UbToTHvT1+0mbzRzVa6b7hUR3aItmoMvSWLD8h6m+XeZN8//
ethh/TZv/U2tiZHcYaODZFNA2sJv5f/D0IU9GRWTI4adSF9p86PDNHbjZRzYAGNlVA+6yKvzWITT
I+eTvA2RcO4G+NZLHVRiWDQi7988pKif7u9XJZnfGjW/P878Jsn5nUrmt4stQnUwfr9x87tXTGHy
NFjEei8KXs1ufke9+W0FUzM9pPMbHPx+mcfQasiBSbSHMOBdV/Nb783vP9TxcJ1lU3XK/MbfwotF
AkVuk7ePg0StcqOGfc8gcsOeMESSzylDIsKwDwNOHr1lUVnZg3V3HcW5ZDTU56GU7ZMeF82TXjTZ
Ac4IIuupbi/hRDfmzyedGWAIg/yk83FxDjrziaiFhfFlzqdkrdpoL0sW6mUl1yy1OEy7+VzVEJas
s9+HLZE2w04lnnzPS+qMUlf+zY4Tfy0tM3lhg0PDwNyXAYocxKFSg3y0/cL4GfjauM6AE1llzCX/
+xIousTYDvPN0Mx3RDDfFsV8b5AjqL71+S6p51uFeU7xYsw3DSAHLh2+zWIfkk6wZoWS/fTm26mZ
7ylshnI/jsWxmO8wOd9miOefowChzsKbmukXQ8IDkge/Rm9lNC9DnelvnupauCfESr4qx2WolXWm
+jEQq8FbY7GsLkMGUAnP5roTfQHenALOhFa0QDh9dps0P0PviCA1mPJcMqBGAFVtSpq2ndCkjyK+
doMPO3MITsH+NtHcIDPd4Gdw0aK0v/9G8iSzpZuh1uOeJi6ShymXctkURXot8lh8eJVpHrKYQ2Ir
Bo9+lZ0zlQLG3HxYwDpNPi29fOytFGdfqZtOtZHIrcuabmHZsa5h4JUBiYpRoC10pxzXCIpukm5z
N2j2jzpnlNPpPZ3ERF058fgqnAlcNuPa14J7HFf3tJXZWhvieoXWI0NllwMeomH/ool51TzdOVmd
76+b0n5G3UoFpJnWWkcowwmLQAS5V3rzBqEdPRJ911z0JOboSXR3dTJ8RdvED1KIe2TEd6SM8hBX
frLLXcrsLtMfQssgW6eXI7ubsafoaaG4w1x/j/D/7Dwj+lZKS5CKTpKqOOnIL1XHmvpjMWT88oEH
A/lW/+Z0RvGQY8ne5GK0cZAX5rZSab0yej9bNJO99WQBFDMftAXWAmfDMJWxil5/sMN6pC40F7oY
2X0Yw3NZjC/QUfKnQStpx7xUbu2u6z2I0QlIK7eUqzSB5ENOGasizTC2VizKjYdKFGVd32x6k3et
8JhrBujJiRZV7iIcm/ch7929MhI2HlP+7hgpFYSDtSF1cYNnvoUrgDUEj1XULKosG5e1MYvjS+wF
+FBAyZF9smxjB2lI6GeUFqVOO391AK4StEXFpCQtv/SC4qUIWr5hRdcK+VosG7+/8/ucfWg5Kdcu
8LrnxhP5Af11sDdLX593KtGpCNxfBqCie2JqE08BB4qWoSfu02+C0e8YAMEfGBFuEi1ERl1grCwE
n13qy1/gpZxFSnbIIqmabEVVgD1FRZ9KmW9D+gP5/wlYHU8EYQcqd6+TUZjkWObfopluyigEpXAH
lDxtwb5rnmsSbhCF56Y2+5UVczgaOo1Hn3tcVvhX0UCa+jPk1Ibu1fg5Frq1dqr42YUyy/7fX2tY
rumMS0QXoSGPoWsdlDugbrV4v8aaS4IYwWjFQPpMwJ9Jfp5bVLuoJcBAmprchUM4vcXe3GSGltpM
I3znxdjABVvGbT+9B1GS4f2BneN2qbZkoWte3DYuPwhJtfahJvSDHPx4n7Z2cwkKt732MLevaKzH
z4Dz52CYlbsb54qqn2sr/GHd2ZrrreF35TXXYKYG/xONn0Yw6lydceLaz95cstVz8dbxif++eP+t
DdU/3z392V75f/5nS6ztV3H+yL6a/3/WWHgj//s11r2Oyq5mr/i3fOu/rLH4bX9ZY5l/WJaJIAiH
5oyD/tMmy/iD3REgKJzNYrZosq7KCyav//kfbLIcZ15XAVixPWHNEom/brLMP4hs1m3PsTxzDvf7
twKuWeL+wwqJckqgEUA+JZA9+vr8//+05SzzRNOUbXTk29uKQSONODO7XdYjCiYQ5w2lWLjoUdAt
kZOo7VS0X6NpvsKJesvcVL8FFdYWpxp+tcjHiTvJ5kGI6FaaZmggXav8KSn15jDj1ecDMF9NmJIx
W8ePotQw1pCStKOW5CgNyzNJHtB7IiUpjZ23guKE/b26FbR0WUlevQLxlIYob3PCwMiX0H4hxsVL
B/TVKbTqHW0bAyf2STtOYiyNBB/yt4b9e8R6DKP+EQN3j3x4IMsjE+GVLYa/IjZMW+sVjbdhxfmR
oCbr0JLH/FBqpTjKPIAKVrp2NqDxVC+Bz2wrSj4GIHkJg0Uy51sFfRaExZreh6BqbPdL2TEmjE27
u5HWtU3qxD6Wwhj3ZuJ0mylQxQrvEMqKykAAjDpCjexvHKP7Njr/3KhQrI3ach/RvOlLv5RrWTXJ
VjUQ/xB45yc3LkhSG5vg02KEuhOUHQ9oGsoV4A8T+Z/v7pPaKB/0NBSfrVDv9ejLpUUJOqPnm1mn
x3/lVvnZCV87BaLX98gUxCJC5bGaUsc+TUndbZys+IqNdtjSBLuXWo9BlYVgS7rYQACpFx6jUhdb
mSTpZPCrmqnDaN48qq+yJHmoAGiG0qZL3qxCvdleKcl4UGgX59s6a/SjPd/fZWFLbPTc6QmXSpR7
yc4t/Hd/vvdFzy8H4qfkZjDQYvQUCMVcKfCrCGjBMXyI3PTOQuLuznWFN1cYWThG9yYgtStxwUs2
0GLA+lGToArxKBOpU6bEt9bDXLu0FDGuBYrdZRZ96uLqlefV/xrnmkefq5/JLOpVNldEfdnQDgZA
tse1KEYSISie4rmK6ud6isXNHEli/0jzUd/FbXMz5uormeswEVvNJkOY+qKHPSFxwkP959+J/7jm
Fu0mHQ/tqcSG2/SMlRZ+TzjpODbzshYLcb3NILbu84B9EJVaXV5tMWIGcDRtJeskvfjEqKEgYsGV
RUa5weZTXzDb9Q9BaEfgXGBwpVJynPnNdmrL0wyfl8yXa4QuDCpuTWx7W6paHJ9O82KEzfiEwYoR
Fev2ndGGOG5sQV5MbG6TqM9e0pgwar6qfj04qmeOHbeojzst+MHMvV8HiVkdo7bBka0GgRYXxyq3
tVObqy6ov4qyJlKespdpJP2XyOzxkUGgvyrJLmcJ3FnLthEPBIxaFzRDsFUDB1G/P0SPg5FSqpdo
mvR4AvOjielnq3wuaSyiYnALVrNxmyzKyXgMkpZgJDqauQoqNoSqIXpuAmbWIpSrpB3Q5ImSUb8p
nRwFT4pQSWm6WPmD1r2qxhfPXdi5u8pTwSsoccAHOtgTp0cPH9kI6mNcUYfKdaJnMquY4xaz3Fs6
k3lLJ0M74+WaKOLS+BV1zqsu6ZoLoTDMhJiBmvFatr35hR2jv5EKMKy0qIFUAUgHKONYTA+e1Bj4
s5miOxq+eqvJLm5pDRj26IHpnRg/BDjHNTdNNsYUvnp2Wp612jtA9cbUhZMlZBdJPIe+zDAk4Q6t
DmMfABhH4h+vsjGhf+ile7DTLL4OU1AeA6ONL6iXmMDo3bETUY+nuK1ecbp1C/ZyrH4qxdhNkZvT
RTDOs0bxccZT/Nz7/DPSQU23QE6Po5NnKxPB66pQQ7RHTf/IPcSkEofMxtGd8JMuaNoZqXYPx0rH
4peTiWbm7aVIPAek3RStSMlEtGhGxxF3660K7eLRiVGJZxHr+dqg40MWMXdm4EtIoKOi1hzf2IO6
6lYIwJ1VEHkExNfIdkYNF4CWVS4RrYTA9K7FKRw5XwTu5Ctf0DjBUXjMavEzMj0Q1jGbE1a3bLX1
EshITx9rdc207ruA4yWA0FfkwQtAZ27F+d8A2gn/W0S+XNH65qvX8zanjinWcMv9E7E2+KnN3rHn
FPdw+NTCDm9yDG3qbpbet9PEp2zoOH0JzxskrhXTu/RwyRbYuy0NJqMccBXKbsN2BPOxFt/c0ZhX
zSJ+KSGurysTDYY/yZcsF1tHG9KV4E7IkSL6P9jywu32y1/FyAMlmvTeV2ha41ERwJDq56mfmEug
HeW2i5+btjYZb2r+sp6/aS9Rwcbqqee9jKOnxUnIJviTuvi9d82AD3WymMAidVi7UElmKUz0QAzk
FYZnffL0EPoq5OQI1fZSMYJYFvjnEG0iPqAbyInXca1d0yf1PcS6sZoa2OYCD/bOGosPXeMUIipk
FZjBWrTOp8pZZtnOLzaORHu3Bls+y/n1v+Xub77JXZVf//kfH7/Yfq8ivsboZ/sPdSsr4FnS/t+X
u+eP8GPOlv/nv+8v9a7zh4lCHbAfai6TmR2yub8ot6zflfAckKD7DgpzSs2/1ruCohZaCXNN09Zp
NXFi/7Xedf4wQDzyFJuWcPgj3X9HuWX6/El/J90iqcOyPEGABlnCwjX/od6dvIZNNGL5vYosWA/u
R+hG/iKK6uwsbRUco5TBL+Hcz0WZoE0iAW1bIVD5GG3HPcUeWfMji6HYgZ2Na4Lbm4LDzr3nEDzr
Kq19isVuxgwrsqyGxO4feySbi8G0IG6UXfrUSJipsV/XyD5sVp0UY404qQZfoOcguyaiiRCE4LGD
eitwoa/1JCC0Lw6eRxl4G4xZ6cLNnCPbSvHhRkbKDJhRTAG7I/H86ZRmU7Zsh5Y9HqyoRc++EJP0
sBmavlyYsbeZGK6yY+oya1Vl2J9Hw10RZqVhzxgeK2lTTfq/BtNdDGV2hOKxVo15Ay91KOoyXGJi
X3aF+e0Y0figyWBeCyfetDVl/RTx2V6KKCtIc9TKLcrN55G9mNCGY+fwYfptaR1jxY8cWcnZzttt
pWFkZfV1spyOdbdeZNtobH9Sh0zn4KXxSYVoKnJCibB/sA2ZInVvX4SjVhiF1ynUgiqzq6Xh5d+t
DUbRF/DSkFaNniCzK75XbLVkyWVYu+gziJ9a6EzSVtoU7zTVPWqm07MHbcbnLpqcveVm6xL1wypK
CgxXCG9GtwpZa4TyCc7XTVr9Z+BwzYSNnW7GUXlwVTP74uCVWbBIxsYdwPFQrK63XguICdKSs0fi
pe5WVtyspLJRrllM8ONMqic9DSZGD01bbkGohZdRnLC0PxNTR6JMLPLrUGvakjyMU6jbF8kGHX/8
a5gqtNAlOudutLfxUB/DutlrhEfqlABDSPgapmjlqIivqjnXdfud5E9YJEpuPd/aOW6ZLhVNCWiG
tT32Sx3K06LyLW0ZjBOpimZ1Vr1+TBx050RtLzzPA/SmZs0YGogX7AR0QxJC4SjmvzveV7q2qNNS
fyajMFp6qneAgSzMZoO+jsW5NxjbCipC7hgfNo7Lw2T436i5T1YyLWw9Y+NYXa3WY4wTrzDm3upJ
Gj96LJs6QSjR2u5878kXoH4DUj0XpmLDYkFdu2A4da6YPcGv+KA4cqh+P0u76g4Ea0btslGOuKaV
VT5YQaMOsV17H/jE5NLv8vCgkTS+Z/De7YmTT19jK5ztGl0THaUp9b2Mw3qnWPDdGxdjCY9qgy5K
Vz8Q4pNIUg3FVQqr37tunr5zRbp4LYHupXqSUFHm4iBF4R9KLLIbQwzDpjWMeWk4jSf2Wdl9aqPx
TtBg9xDrZfac1Zhmqx7Hz6Iu/fqjpVxeVYbsCdnznROJdOUx6b3hEbmLdXaMqXtoSd77YcRpR9sC
mYBoRSbwqUj2tfSdy1QX8suyR1QdTabqX3DQ6F6ZlPsn7AjRKS794egEaXtIA8+g2Ot7/ep5o34b
rL46k89oHLOkkM+UVT4iM4xkPCru0dIG/ZihY2iQgQNoI5rN3RqpmZ59fkCEEK16jFOp57s/3TL/
ROhq/Z5C/Hn344HhZ3bCLeAxFQEj+vdTioQmqrCaCRNjGKbn0q6Lfh83fXOuZn9vF5CNUxrDsFAm
DANjSKbVgBkdXwRGOLQZz6JvtE1qKeTpbjxPUBujIPos0jfsFhpkUFEI8KAjCoIEB+cqcj0+tHp2
dgMBlbTypyvtO+VK4KUnFeKS4kl6djB+4kb1nR3xFdmSuYazkMq51zVLuK4bsovoQgDNg+qCezkM
prb1QZpMy8adqnwlc/7gBXUdbYnALQ6+D8rnskE7PG71jJjadY9b8wfogipaVX1YrJ3JyJ/JAfR+
EOfx0KQtSbwm+W6uRghimy8VqtAyV+CkWpcqQE8hv2X5UbNC9EWZgSy/s27l2B5lWT8F5GsDoNRb
xjsOeKJohMYURMRrIwezSOxbukOsloZESDnZ/SGoi6Mb8fpHkUI4BGxiyCPyAbparTMmBYtqEOFP
2TsDkITB3mi4icnHEc65wKHAGWOkG1cm8a2cRLgquzA7d9PgzmArHqWJ/n0x6UI/DqXDWrmLmyPh
GP6pc3T5LPXQPIaRqM4JGu9bYQj9KhMw1EtA6u2B73o8Yi+OToOOn5Fqk+edUrr55YZItBeWa8kv
8Kn5cqyDcVPPb4qa3xlvfnvM+T3q5jcqbTw898FonROM549lFVVHW8+5n2XT4yfkqiSiogE9m6FX
7Xwbs/v8Bvvzu6zPb3XgJvkd+N54gtYW7tGlDRTfnAMQFf2DmtiUlXbBoqTK5+eg8p4Q+aXvyDf7
/TSfK9N8wtjzWePMp047nz/TfBJF85nka6W+T1iCHPNQcGSN0DlfESZ3+zjJ/H3ZDuEhbVEm9q3w
PuLUVIcy0BgEYWO7ysznYCS3ojtQgIif9NdyO0JtRAUWiSu/Wrt0VSiWBoqRdRRBwUa7rGZ5X1CT
Ad1MPhVK4hv82J6f4JY2HTcesDoRG7FCaCiypRFatYIILbP+nLuxt9SdygGuSCM7rUwfKQTyJR88
UU6tX77CYK1R9zpJ2UL2tZJ2V4R1Hx7NVA9pCBt8sIuu9foOGVVOmHFdRWiN9VBDQOtJqcKVr8aK
7erkTNzX2IV0WDJzz1DmcUH4XmtdLK03T144Oo+jhkI+9a1mXQOsvDVT7SQAzYJM35KAnqZrrTaw
HgVM15BJlkzXelENK8/HNLeo3Ulq6y5LqYDoeNn+uxybb1NKeuASQJ3B2aLi2OcRMyqDZKPWvCX4
YZAyVY9uoGDGxTGauEaVy9bMdw15U/ip2ue2PwqEovSK+sn1/PJkE6O7MOG54ju28O7XaHRRyuPT
CjAMklI/rrKiHBb4HJhJ9vE7eMxho+Lhp5Fb1dKrLWBiyrwGejWciZw3l/AQPiP3EzGt/6BMJnPC
Veaqb7kGrIIsxNjVt64s2N8atxgNzmpMPXS75A/IzBXLMMMl2VW2e2jFKHa48UgeiayHwNNuIDu4
8yLDOmrc/2t9Kn+mTaHN3xHqJlUS6C2HK9f582SU0bcDEGPfdKx6h7SYDnh3h8UIaOnF8HS1io1K
fbPR4BkkarO0UFK3egz4OXLD/11r/NcS4n/W5/3LtcbpI5/3Gv+kzfvbWsP+g5EdO3TPdoi3BA/y
/9o8FhS0fz65iPZM4Z0XHn9t85w/2DBg8mFhjaABScPf2jzrD7IaZyCXZbGGsGhE/w2DDlGA/9jm
CYe/BvuQj6DMgLr99wWDUzWwLQA37eI6ynYKodgyjPwH7Ab469qQMCwgKvcEKNbWBi29DOU0PmdN
Cx3OiF7r0K9OWuVhGgmy8eAiwL01vU2mc1aRgGNQxw/MVU1WjMzIGVosZB282KaXnYjE2Dc1NlAb
7sMhTZqbhlUIg98oPx1sKEiyYtzZfXqNPZYorEeB1CJOUUj3qo5bk3YUcitLjLuvaDHGoA0WaMzL
E2fWKFesdpnnyQJxAiTqbVQm7k7LfdvZoS0Zn+jr5FtUll/w5XJ3FbYW9Lsxit8jE1UiWUc7MCTn
OBeQiWSaHAbMr6vGssm8thFiMPBe2d2so3EGZtF4m29xmFYnHyqg6mC/DNlM24vQxU01Sqy+ilCx
yegNq4dAclDSTGj5HDzeDNVicCxEc/Ws+PQRp+lduKnBRXLvmRhV6FHLmz7EvwansbFRB5DgpUJQ
aegDzWCjv2fGyJyMFWm/VUjGOdXs8KkfxmVrDdpT37npY58KbZsOTpCvSjvQH8F5eOjMwoGFFetm
0l2Nev4zzYE7jKM0AXD3u0KN5mI1MOGtt5WdwQEE7sawOBXmLi1hJ+5rTvZDOaZtvAkmk3G3TSxy
gDInaPuN9DT/0Beon1qzDup9g7FIbtlt9w8YHCp0+v5UiVXvKG4OZiF9sIybMkUEnNnoHytrfMmx
6fc4SBuXWaNbMYDryRnHZq8p/9q6NHuLDCsl4dy+63Bcor8FTko49xuz8fo0QahgA4DIcEYxBHSI
5JUZqxb1Ae6OlOaphHeEM6e/OLbVGI8qgdi29OOGmG/ddlN3PdgGBa9fUzjfYoQrcMoUtKcHnjAL
Jy+l9rSiRDEJ4R7AX5RRdnDrLgwxM5V1ueVuZLMfs/Z7aH+LSwejnlW9g/8I8HvvJTrx9GTYAMbE
/6S32aqH40At5lKTW2ew2m9p417HeI7ljnSTyrfeyZYm2an1U1rS02J/vvVz213aT9jG18qw1Tma
29iMVPGhq45xGKyspMCvfRIZE458zrgqw2nZ1gVfmTmQK5GpbB/qiXWNlKV98TivClJSWbFczRZY
dT56j7oONK4YxkXGEbXxM1Zp/Kjf1vSYtf2q8fg9RPi9ZZoZPza6vodoGa2GmtULPgKbEU4saF5Z
R0ZpQoyvFjD1aK6eUGgLFdKNAVBA73jh7vecoLPkPbN6CWfLjbkILdhCs5VMiEwhkAC7Z2RFs1SA
JVkfFdqHbWNvqdwtUCDJrLwYFj0J8Rix9XzOrlu5YK8qpkr4rwIjL056FIt3X4VPxLVHqwh113YI
0pJXJt4kdoqZxnLbJc5o9+dkT5RDhlob3tgcTTMGaIQyTeZpsO8d94mj7xTGqLysSpnAgEiSg3eg
4jTd2MoU28pnOcU+ZmsL/VcK1QXSvfoKk+BiyQEu4USMht1gBGHv+zW0XvLZTeH3v+4Pzd/53H/f
HyKCIlnU1C0yYXCG/v1xn5cj1MrI8HdaSFiczIDf+1PK+iEcS+ciUaRES23qoKQ4kFBOejFGb9D4
mTFgDxM9y2D2uVTTgrdOFAFBS2bZzSb8pFY8l5FHGWMkBbp8qBEvRZ0bPwHB8j4b9QDxn6GKWy0Y
veEDQU3OOnrEevSQGLKTW4nJB5u04XBYQJk5UCX2BHr8Pk0Q73OyVL9PGZwq6WHMmNLDslWuSaE8
gMiq65y+TYcIxxokvrWxxggKto+7ryu03/XcdJkB8iKzDTdo77tjCoNngD246aJoxlP1R0Cvw8HB
34mnSR5Yisfr2ERNBIRPrkDK+EszBwgGxe82zW1izHF2FHngbKvKZEOCgJimIAKGNAZbOm7zAXxI
+2UgXXumXC/WlQV5fZ00FUlTTQLGHfxJ4XfIcCMcPwy6opXQ45qnG5Y+/U1pxMlTpBpjOCiM+Ms0
HuidHVJdRx+iuF5p2cr3Q7Tyc+8t5i68oR2Pijo+qNCwr+DI4B15QZj/4FAAxVW508YpBjD/BSlb
fKFVfAFw5/0KoYKQqhU/1mlhPgid8XiB5tg4MQtMsOvMpWX7X2VmS3j7MUOtcZC0CheYd9rWZSuL
7rDXtgY6pCs4xGBRuGH4M6gi3lagYt27cji98HqYl8CZtWPMaAFNG592Ghg7fWwy5rMOygQzq68p
s4ZFBJY2zQjFo1N44Lar/y97Z7bUONpu6Vup6IM+2iI0fpKio3fE9mwwYGYyTxRm0jzPuvp+ZCAL
ssj8q4rq/rMjto+qgJRlWfqG913rWUgApIbdKEGIoisI9AJvNS3Vmc+GBMtcv8kq49Zzh27OlbuB
mUlUZ+hDcgBSOIf52GBWVC5ju0oJU+9WBYhd5jlCQDvtwZWVdiFy6T5H3uBh0VCWmVcdauRKwTPY
RKpyVMbOjeNqMzhxa1z+d/RrsNXaJ3LTUNWsa2PRDfVD7HXKCVECjzSa6WrVmT5TTLlYWJ1krcgd
3YEgLA89S2mmpQi9hx70wWEjrPIsRjm7LkuauEEG5SGOQ2vZNOU9i0VjmhjaQ6NT5QXhLaY0661Z
rPj+kQ5CcIAQt4x7WTlJcvsYXXk/1cIaw0si9TPNVNKFVmXONK/p1TVGgfE5q2kaYrOy+bJDvaXO
aVH6JBIizcrqeMiUgmZh3y9NPaM62akXqPi740hRfPj4KrUSpRcsPhRxQkdaOQuNpCT0wJ2D2fDX
AI2iqUuNIZo4CWACYRtqi/It0h9L8H5ztVayJ0RhpKaGIl3o9ZDO4hKSnharo5DUcGeBFgbLvO1G
1NMoPu32OlTR9eqNuVenNgVCVd/wK3wWuoz43Q+CJ/hL6FpjB8l7ULvVSOTvymwpFTis5lhlY5q+
zNHFOFuH+4k720/iYj+hayYepJW1n+ib/aQ/7BcAI3GUHud+YaDvFwliXC9QHKr+e7f1V3Zb7E5+
3FU7fnSB/e/63Qf7Lf7hNxmZyShCC0xh64Rai988t9Us+8BSEIsJStbmy29e91viQBYmCH4bNBKo
Iput2O9ttTHWlBxC9mlslEi6+Sv7LY2N4Pu2mkCSBkmZDZ/OwfTvJmD64hW8eVOsCrvQ3ZWah3Bh
SKHrClRkvvfQhVF0SPWgy9aGJuoLXektdy5aJRgWIIe1qzygJ5dUQrB8EyFYxdiXmFmNturyZSx5
2tW4Uj522lYGoyfBs9GMhK6ySfQh9mJdD+wVGmqLbMveyrONLKVwuAjYnBqGy0NiOaBFSsNkyicx
bFz8KNIlAP/8yKrN+pYowmiSBJY9V+QonOaJdS4zjyA8lk/6nokf3nVO+mnZFPc5jFjQTAgycopN
rruRg9KuqAQrw8bwWObPWp0KMEkTJCQNUbwy6wKDouqrK8ewuplrDBp2z54NpI5MnqGsA08f9eKs
9TT70kpta9kqYYsPK7KnQR83Ew3nzlwr4ozGnc320RNsIXU1u25Sq61x63SZiWs3PVeoEFrYvv0+
nqdgNGSWdI6PkCdpm7OccRCIYcL4vcn9Cs+bYzUNUdhtxOrTToAJzEr2BHD0JNQXmNSQtS5cpQff
EjWwkc8GBY73aeEiFD5TdJkSD/l3TrEKA6lw6LVZyrCu5QpiktO0Nsi3wFGaeV1DL1uw4I1um0jN
jTPQjDiilYHmErokYkdoVqlhP9GGsqkXjiibpVnJ3oOcZq45jbPYXiZFrVwbTou31ZVdd4ysfLIx
ONZSm2/VxFI3adFnFK5laSV1VnMLaq9D2O1s2y5hUZe3FfN8F9N4KtpZ3Of+GXVu6v9yFE9Soidx
PRsQD0s9KR+0uDFXKZJff+lj71NmUSrnM/DU1iUVTzDNPX6tfhb7lXURKVK/aUk4Y4Po4+gvq+ii
Cuk01Br7ZYB3LPNdLT2UTfbWJO66c9m3Dimaj0Q1Zbh0oIUumjw1DoFBIR8KpCU4VKzhVj0N07K8
6PUABJgiylOJjd6iDVs3hshDcwd+eI/lMPXMGHU4P1+maD82dNFZRgR0nHs0TZsiZ6Ez4gr9S+7W
+ghZNIRTWUWZQ/6XH6x7N2yzSerUM9q9aK4zt167TRue2qx7vlR8t+zhUgcHLNBRZJJ923WE6Uot
ZKtiRBzG5nXn+/FZ3qdLDJ7RPLdhDQCF8h8MVWrnhWVmF3HtlhQZ64DrHvRLEbj5F9NG1YaFpj7O
qv4xrWsoIVmvxujMnWoVSkGwEITphLegrsRFm6KUpx8Rml+zHg7uXI6Fvh7hlnRjuxohJ2IdIan1
3GjyeiHnRY6p02zxjBsgsRTQKFGHDUvHcL6KbOlQBtrECBN3x8KQ61tHLtH9lG60dW0tPyyzIGEv
7Nm4RXNcHW3jVM/swv/WVv+pIuQYBPjjaXG2i3fJb6hNfoPS+sepcfzHz1OjScFRUdFdI7Glgvhm
ajTlA6ZEJIrgGE32n6MY5HVqlA/4DQ+CQH2tUD/kcK9To3yggdIhOEc2iBZFjfJXpkabmubbmVE3
LEuDKgLwnqqnRTHy/dY0KyTCshNFB03gP9WmODELY5kJ+zJwGK6was2jHtFIg7AU79UZzbEvtHuW
tf3Va2s02JJ7hKLuOqzFkrT4hSJJ82BDPPph1QKoMSGKOM2x18rXOTSIcNwDDsYyGArUsdPUc+ao
Ao+UYipqayFa/m2ebKKgWMHsXIdCOxOFcWIIbdnm+pnuKGQNT1Th3uGIWvSZTd54fmFJ2cUAdsFh
utU9dhjEGETV3RBd9C6RHDHw9k4sTL09NjML6mm8UTL9JNG760wjj7ZKtjxe84xFdxRTMCoq8rec
y6GnDmE5+mUp8KO1wWns6IDivNGcYxSrwUGAQO3xrHLNlYb1HVJH87Uq7EvI37eBziVDF7HUHLHG
8zSnjHkPvI9uS7zRGYHe3HkfNKC/RxY+f4kjthCoJ1Xl78vJfVyopQdFZ07OysxlPolxTbttfmr0
/alZEIjteeiXB3Mu1Qh5+WZ+fgL6d+srjLG0Pk0hI6hCWUWJ/P1dRKeYZYHqO3MW7EOW+RurLhad
TA+u6Q34k556qjuhWNbOsAWlct0kvrYxEAivY4GKxpw89lpVLAbBFgtRob8wFSeeO+mw6aJiBVqe
Jo5F1VNGOxsPJYOkEcWzJWBVWHeYjuimRvNWs9nx4hZKU8fAtq4d5R3aF+ItaA+V6n0PbXjSdsNZ
LfvLoUQhwLN3o+XqERr6YyuojxJA5IdpnrlH++vzlwbSP+dA+eFfje/1i5HUTF0hDJ1xi3U//6Fq
47L7xyPmZvewC723Q+WHB3geNS1GOUY/wJXC1um5jGPj84aC8dTQyCtFIwfEFkznt0FTMw9kamt4
5mA9vbR2XgZNbbS5mBZMIUZOzTC4gf/CfsIaUW1vRk2JlpKp87ztn4M3dhQ9qoABhZW3ilozXrAc
oSxFsBUVKvQykDw1OwGxLCXWsga0Rs/dMA9Z53rkgokqOGmzAQZCYhE5MjO5s68NySEaw7b66yyI
bX1KpmmSQZeJqdwSDWGfI4Erz8xQ1jtCaWPcaJo5AKyfZK5LTm3WKA64MhmlazkGL95R5ZGydYPd
7LhUDe0QFmi7a5w+ucu8kIzeQg+yZRondLUHAxMhPOcSy1zbC/GVxZoLuCO1u37ZyxWgKzWKmnxN
u9SRRjCKDlaF+k5+CDHRP2NJb7hTRvKcRWcdX9QWTHUR1vQSur4QX9Q+jLddp/TStGvUsJkWARVE
YhzgaE00w5O/5AHhEpCZJYRZNhKa8y7xcbUagdbcB4bUHdpBrB8qlPTPDclI8Nj66oVqBPUNzRJj
y64rPjdjRhWp0u0VE8mwbOQugdIvTGfTMG1Q7STkUnPhmqjMLtaiYauDRUGtvXubmFhvJUUl7t1I
FQ281LAdjjJJaE8tGpcL4A/Do9/G7G8cN8u/UAvVT+26Z0r0yoDEyRiA/ZWpj5D9uo6rrYcr8YQe
O2YZu2Oam9TkOi3DyEcrELBivSJdVLpGbgE0DS+AfEUCCs4HW8BcmvvkaVGR99S7QGnzZTGQFaOo
BFUh8nbLLcpp4pqIJYrNeZw59hGFmmpDwQwXcq4VycoMcr9c6xib6SMpSfU11kMJ0I5el49u7HSX
RpOiQCr1Ck2jVUnW1IR6cYzXAbsKZocomlW2jn8iD0r7FBACyQdVHyTd1LAbmh69FKXoVwZ44xO2
J6k+h4MjaQtSWMxH0icdfeZFOaGbLEuzYS6IT1WAU8RkjFRGkX0lD8S7lUefqYjBlZ/GRkfbiKeG
/oMgBKAFqGXWyCycoqunPiAgrl+DNnRKhThB9Wj03rmB1gjyM1PybVxqzpMfZAT1FJEKIc0R1Qo7
cq3cZ0DKY1qeQmlITXAGbqnOqFKIGJpHXgEVxU1tY5yaOFFEK6FtSwI9vA55BTjzmezH/H+pltJG
kXws4U3NYkdPhyHYVl4j2M13xOUEbR9fQbnXH4Do+l86WgrWpLAdM5slPqlY2I+MRSBLoT4duWzr
zEPBwPYJ1crEl9C/z9QkjxCgpGFFo9J260Vvy0AovKG3Hu2mEOosLG3U9mZkIJTtKvMMEmu5ph9Q
km0Q192FFNnlnV0Y5U1ATtQJyA2KzHVZUdXzOjzWWWE3Z7CpyhtwGsaE9ld6NAxKvmgixPnzjkw+
VP2N08wJzqjw/aaejnkcXD55hamLtSloMpBPZXiUKKHhzcmXh3EYIPuiFuJCISKRi5Yxd2U7ieQ2
BZxhILBsAlPMRZk293Q58CgrAQSXKT606jgKo/5c4AVAtumkmQPiqO+WI2hrSXSLvMZi1yYTla/x
S2GHwwNRGrjN1Eruj9kOScc11MJjG+wZWstUN8/bOPMvmkZCfhI1QlnLrRhWOu6qc99qm9PSVQX5
gG1C6GtaJ7fjZnTeDK23KGnoXqJSTXz0mu6wgMoXkY1iZ5B3KhlREULk4Gvit+lpEBXGvMzdkZrb
dWssQsND3WvYy3pChBXaZKlmTvCC8d3XYUaYnN662RfMxiF5E66KJwaAKxE4nVmQ7SFXV3w73chN
dpVTpGA41COMK4eS0bXlpLVKzV6mFmHMji+hXpFLjf2vEwXpHT4OcVnpNTdhLtf4/lnjBV+VVM9u
8TgCEczzgqBCtdYrY6GLQQUeHAZhMqlMkmZwUMnZdRnQ3DhXrTQmqqvXGHRYqOYzTUpk9cgLermd
sT1VBuAw1SjyzoiOWalRq+nrQib46jTLs+IYlJuDmz2x+3AG3NI+KXIzuus813vypCKdZaXsX7pq
UVJjiKgMTbABoUvPncCb0h8w50BpUCO7lKlXOv4dZM8pHCK9yVHnavSuDuu2gZ5nNFFM+yStSNoI
VOgHmL/oVVpOt21JdCOdGmfesiG+bq2gkEQ/WUf6FDyd0S0IfAs2WqFIxlRNK40dh+YtG5AydUfz
1kvLNJuQaTFs+gCEch3HyRhOpqPFyEUcwOEIkzm5GUdtB0l4ggpvbPlyhmdZapY3WmS1BGqx4gDd
XRkU1ELETkRvkSjlogc95LEx0puYWksw0atyZQprWZVk2056JfoSWYWNXmnccUA+wiCf2NGhp7WI
35WgIAPBLx1DnjDsJIxDhrQslHPN6s5UBfWXJTfDQ8RswETtV5dREllHoCg6pNOONaVEVJ0nTt08
6Uw+S5wr2qFmI8enGTcbkEmshpaerlqV5ZXWGdrKCg0CI1GYEV9pERWFig30DDxQe1srigbusK1R
VCBdOCRMIp6L3q9ZXyt42jSsCVgH/KDbIBKr0P2lMg05JzyODAbyEQaZZwBR3bSfouyXMOkIhdAd
r5GUZRn0dgCqKQ/Xg091UA30iPy9VtuQOxQcDbavH9VeDScQPVB5C/PAnpVGYt2L3oEjLxI9P9Xj
yDrHRGZiaaxIQdczx5mgm1Af4IyoQKiV5CwP0HPk5KPp8zhEayobVXYlJ+wC2pqvPwUjcxtTtxmN
EMTWT3zhyhPFDMyThLS7e0ywbBALm36xKKps3OUZ06HKq8tcLct7sryyraB4fJwUAZKYNgyAABgl
eZTkxC5bQ/YJZ40yrWLNpZpfYamiW03HCAChjwpCSjzuo+PlHntMCQtCnZm0HAnawbWaVQoTKKWn
L43em3MTFPiFpGvAmXLZcb+YEKbIvfGb7qskoI+TlUh3MagCNrd2IJaelZmALYV2aHdt+MT5Flua
4P2dPdTg6oesJ46t8xHIw5WyKjQ9LRKioCRma6a5dOYngi3kmUWyzsKEpHtNv5y9dJ7EO1sVLDWy
kroeemWnrSZOUSWEbOSau+SrajeK61aMDr5TnPmFhtIkpXQeTKohYqRS066KMDR4hX9oBlKdLuuq
oEhLc4eoRcvuRLQgw1I5KbNMv1HNFpaBWsphv8Dg2WBzIW+b1E4VQ6HvmphKiJsrqxll3QLn6CAP
2rRWc3BiTt8WX9rKL4JZgXIxnfpD5Bz7+HmQWFcCuZ+S2MM0Vf1qB0WdSa01LOU8bEyuP4JbHY9Y
HNSoqeLoWte9/BwVEfFgBfuh86DX7VmjNO5UUmXzyEc1SZ5rLT/6QC2JojLKRJ0z7yYMgCrIKUww
hXEB0cT3SEdnSTBpi9JLMOcNsKsUiS3MlkZFQx21MfSVGalpirFCzyhEA5KgYs1U0RyrfgkGkG/B
dacdqQ5LoVTWeRSpWT4b7NYaJqkd6U9BLNm4haiMX9mG1O98S5IfLCuqa0B3AzN5iAED4lUX4HXL
6xy4chQEGdS4ykN0HrlPqpv659UANaO3M8VfsMYkaFK3/PlgpsVZbSUl7pWCISqBzrHoWbUFM73D
egluyWKcqkML3Ujp7Ow2V8/lhCXGnFWvLU2L2DaieZeJbqQNkeGFNmxgjQaz3R744JOBqvNCcpJu
Xpgaj4nOvAwpscPzkwdyutPIhFC3QeNGc1Cw1McztdumcoT7JMnSFj5KVuCH5K5Sp06ce1uHfJ21
Rv/xNIQxV0x6UQJLiho1xyWkjXZbk0O6V4EPqRLphJZdZ+i1ylluO9FTGsE/LbSIkjZGCjGLnByM
QCANM7NGGFAUnbSqtKIi2U7DieTIrABhXWFFdUHQzesBt6uT+aExMWQ323mRVByFhMexwCc2byVV
GE96HSXuEoMs9QjqcRJS7YajEJoICMVEssTUrgh1SXndOUQ6W9z3kc2iecA3dM7MDc9Ogwd0BFAl
QW0thwQEdqm2lKUSGl6OO9hkDpm7hZrPheqRXJUE5rDWAy+YYB6u53ZKmFTdl/UxJ60f6poq37IO
GHMa7GSB9B6/p1FFpJ21zuAgUsojaDYQJLsgrAEh1JSaYqj0JRQXcGFJLvtnJqj6uZLBS5sYlm0c
ybHKcsoInTl5pHesU+2lzDM5T+uqnGN0db+SyVDd9cC2wKoQ0DdzezX86papeUawSonCX4+DQxgj
0XKQxuBqt+ouYRtse6/CdiJD7zP8gudS7XAIOcLoDq28aVd6FrlHQmQh1134GJiBwFCi9I1lGsrq
TV4MqGRI8RDjCj0mIlaWMWebuk7Zv3IDVrPEMd4ZDDErn2UpUvMuKI+hHYPpabAs10WDRVuViKGd
udoQrUGgsYiWYz+9xKVlLVjCia0A93OhD6m2BhQgbVNyNuetSOlhuQGqylzKcKUy8qpr4VrW3Owa
75JHjwQMoQ4MbU6dMTy6pL2UdWMTupugPElI4MJJ5IktbTcBU8qyIBNoQg6PDUmrSffwSMRUh85C
GRDAHItyt58ZMkYpTyZwiPDuHgpSHVQXvRr5V3VUN1tbco17nl1lq3iF/ZiXXrmAZOQAIFZ7zLpS
qys3apWyqlfCYG3kIsD0K2O1lxtqGXHFeOXXtYo+yIrByiS1N6uTOKatl8PShMO1VjORzRAqdUdS
xIcNTQ4yoetPL7NyU4B1kVbfFEx1Hu+WRwtZVjgmAocLR4VDWXk1lIq+zlQsP2C+FnkYQA3W1O44
hZWjkJ3ZUvDEDJ9cKrFCu0Zvgm2qq08mm0FmZdRW5ayrpWrT651JFVsv5k0YEtwRdXp7LZiU+S6H
PLUWgLWrBwK6+ul/sDmPMocw3JXWG6xooqLrZrIIAHUOvYfBiSmlnkVgJMr/Ox2Z/484NnRFWH9Y
iqrqYzPDoFXysyLibPdQ7PZtl9HtW/y22jWPkf/bf419mB91ZD58i5fmjIYd2FQxDugIsU1O41uZ
cWzOAMAxTG0vW3iLv6E5o1N5tPkFp00B9G1zRtbBntDxAZLOIf8S/kbRKGa+qTNy4vvuDDc1CFvV
wGD2vq7OdqkNwGnqc6e9qvv02L5UFu7C09A4T7BdWGPbYSGX59oVgAIEbZAOytxf+PGNA23dp25n
NfpUDuOvrOhBy2KYKCe1tDAt8slZVBCAsPasu76jegNCHm/wTd1+ZSk0l6jhYdq80DKJVXGPXLJY
aNIhPICim0YrR1w26on7gBAT7+SGRPVJ0h6nBVh28USxCqAZKmNpglRrbQTYfUH7nDA8zvpWmkZe
v4zHpSChfYQYBAu2Nzw+xQKYizuujE86qH7ECIqkvZPt5Kqs5LN4JKqx1LMmhgbGrDSB9yf3VXQq
iBuiVBRWbJzKCQCDMfhxgpivNdWtQqqCGw1rTSsWcq+uJD0+RPkbTUW80ToazSwvT8u6YH/gFjPI
AtQ45G2kREgkAyZFLX00EPNNk1z/ItP75muaN/ASUxv7iNOiHQ0XPWSiApZHIAo4a+UxIenbSmgY
FbX70BTbLuVc274HUqiotKL7q1QaFmqMgBNdyCSgbD3xBLsPQRkIeKK/dWPyKXK7LMel1kleIufo
jt88Nh/2jEZT4u+i1OeHgqwr2VRoTRI58t29FTZy2fkpINBuiK+KSkL3qJfbrjFWjKRzws3yWWSK
wypMllF2asTd0lD0oyoGe4F4C1FqCSrGcez1yB0NJXnh14DRgxAumaNttSal7W1caLpRTIKARZTm
H+XJkVzryyJLjpSeXqE1Z+IianI4MyJvZZn04hX7pOIrzHr/SYcBa4RfJC6zwyiOB37hAr2HjUYq
UTXL21HAUW4s25xhdZi5hbTKBnlbGMWi0fRtL9sbobvHHawjG/h17FWXAWo8bkn67oe68lVQgcQq
dZgLKOIpdScpxSthkvCMEBQpcp8ssoZeFkSjHFA0Cn0jtu7iql9FkQxubTTZkbOBpnHYDB0QQsvZ
9ZmxSOENxRwQXey49VP6Q4aLG1V1cTZcqkVxXDj6CnHpZdJ9HQKjO8JRnmIwU8wvuaNBjUGJIgXa
3MsUhAjcIq3QF4qwV1R6H+SOc2zi/tTFt4nENDVwrmv1Ud7SFRDD15/fJuroRPn+LsHZqpFMo8q0
qMfO35uOx5DKVli0CYSLNHx0Ac84XD6nUL7m7LOGpjhUzOI8d8KToW5O3bKgMNqd+D7SY+S2mBdM
vNp2MMNegGXBPiXCgbGrOi8tG4tpFW4Dr3nKjORf3N20iL47b1rt1DCRwwMJtKGbfYdjLdmk0R0B
nJSbBWRmFTsYyIOBJOquxgtfRGTIRB4VGcbFzBVQAxmkctjrqrnoKKzkHuVAU6KKX+TtQJSCyT0L
fJR9IoIpBNyqwO/vNxcMrEst6rZ+UF9k7LQGbYw4VR9cAzwISBVHs6oZ+Qzsj326OoUghKWzLIbG
Rn0CQU87oqqkDXVAhM1DViFwac+9ptm2GHQy4YDFFcmx1zisXoT9FSGxMtHC5lIo0Sm5XcME2fhT
IgXe3NCyy7aSnmxPg+PviychAXQQwS264WXRlNHCUJ4yKkIegi474QzcfF2UkMosqrOecY17ZgmD
EOJXcdei8+4Rw6ZxO4cq4cotXnxvyv7lJgEsCpwKJBsgVaM6liV/SzBZMAH3CQ0GlTvpvROvrm9o
pl/lMkWERL8dwvzK9btTEgCHWTNuWiSiRoJ8mrvyygDEZnjtSnaHCf6ce0fOLiJUwLWqzdio0Dsy
kAxZWzeR13gLt61uzVgAXsSKyn4lFrNatue2YpOrYCxcT17w1W9kglvbpmWW8W8oQ6+oDc6hXU0N
asnppnKGOS78RWVHJCX7E6W8DYaLUUSAi2Dm1Ud2Fq6DxLkpuITLnk0OvQllwaZ7aYXD3Bv39IUG
vwA6aleJLRr4WV4EX3JYWBO7DJKVik10Omg6BRVhVmTAmGcp/lNWnTlJzDRj7KzZsmFGsac3E0l9
Agi0diT7Rqdq6kjpAx3vBQj/ZGxobxIeQzZc6bbKw5U60FxIUS214jx0gyNdBZczOGKSDwaoHPru
jlTN7LRelIRGO26ZMDPdBmoLuaZbxbVH25w2BTFK8RWk3Fu3NDZdoV1HmHDAf90aQ37ZxXU1565e
5475NKjakVN7Yg55Gg2W4hIIDgmqBmQ3Q28XzQ192IQus5ZIT2MCEpdmIe90TANztS3OU63fhTli
rLCubqmp4lDD4zWFrrst9OqqGazDBkwp8jjK7+E6VI1rYQLQqZQONWFwqZTitlbrIxl8dwyUCxcX
oRyRtpLabtbJ8hZc3iw0nOsYw6ZV4AHT7XNREx8dfhnY3oPzntqOd1I2/hmcuTmr9GtaoU+Dr5I7
1QPqti+6XrtRc1IDqgE7RH7uSHdNaD3Zg/y1o4OHuGwB/u4+0NG9x2RhuoZx7tiPMZtG057rEglM
J5lyQtZOUp8jLtsWuARqDbqaBk1NnVSBdRV35TRk1ZEO1RR56KTJ6EwGj6GPvb5l/1PemvZlSzHZ
77CFR0/0CmeK+qV2L0w3XgqrgNd6hhAdyEd7ntYqt4t0HMjnneqPnaON7IBf6cf0nn7loz4rzIWh
x3NSAkjRIEZTnCrtvW1k09jUbqua2kzPcx2qt4T5xF07xbImu7U/Yay8yR01JL7AmLn+XVuOfLgn
go2RO9p3naZFC7sp74AyrfzCXYW+Alk/QLdqe2ztUhv2Ca1Lw25nNHwBM6XQpKmwTiQy6WeWG1/7
BJ7MO7XXH6SC3AdLsmZ0UaxFi+3WKJJLz83N2RAol3YofUn7/iYNhz2QbnCIyG4APEw1iHZrSozE
M0cWWUuCTVfTJvdpPSytwVzROxqbjfg1LJZTrkfDTMfmUMhAcGV9EgftriKhkEjKtWgdTP4V4hVh
3sVNc2i33iM45ks7oUuRB+oqCHBzpyVLE4AA4dwxQX2pkjMLGurvNMEyhbr4oG+wBT+FMlURZYkQ
/lDXyZxKi2MkjIy++rGXGwh2q6WF7ITYDQ3LoU5ivN4axHLRGp7RLJWmpW5Xc1Dd/eQ/vIGdLvYL
AOqGvQ3VEU1o1Ze+HN8Wg4u6MfUI+Sqdc81TDrk2ZFbacFfVDK1LamKjMhPgaDImDMx94mK/OvhL
upaP4aufkKu8vPtsV+3mezTUWf1Y9OePCJKrbzF442+3qZ9Ul+nf+6NX+cfHB3ohpv4rnaBQle8l
L/uT2p/xz44R7Sq/qh8gXik4lRVZV3Wd5dX4YvsL6cF9+bUpDhTcyooxKv7GF+scJDZvrtGPrsLP
P+Dz5fz537z7ADw1STV+DdD5k7ciHhpAb5aU3y7nHy/Bd0f4/RKoiHMM1VCgzH54CexR8Cj0ccey
fz1DwP7fX4Ifw8mEYmnIaf7khfjuOL9fCMU8gJg7Gh7Yi729CewDlt6EWMMg27/49b/lJvjuzB/3
j+f6gbtYpoCD8u/P3QnfHeb3C6BaB9B+wf0K8eGdYB6QZ6kj8VJ+0TthzIv+nlH3l0cE+wBoATxm
CmP71x9HBNmyNYpWzy9qRr/WzYBoT3k+KTSL7mP6kzHhx3cCwAWDiiCCvnePgmUe2CadRZjQv+qn
V4X47KdXlAOZ4VBm0/3u05vWAdzC0Rn1PO38QmOgiWNX1SifvhOA/tV7n6mAyFEmgh/MhsoBeC15
vL+ev/1fbioYi8mfnQZUcQARBFW+/fEoyKMxPvs42Z7Hh3/XkuC7h/f32YCs39Fh97k7YWRuIiSH
TP/RKIg+GFMhywbr37wu+uFFUEYF8mcvgobW2VJMA9jS/vXdVGAdqBZQUk17mQ9/uTtBRSj92Wsg
WB3q4IQVKHv717sh0VYPLNVkqrR/1RuB2Ur+7JCg0Y3SVUY9+LLvVobGga7gIMKJ/nxtfrk7gGlM
t1Rmrc/eBsoBE+u4Bv5wn2SpBwARuBHk5ynoF5oZcT9/b7D+q9OiYhwwBhg8AfJHz4BpH9hiXC3Z
L2vCX/Yu+OyFULUDLEa0Xl+H/ffrI8tgVsCVoiIa2b/oZvxaa+OXjdI/MB6YKkYW0lc+nBjEgUnO
FRPHy7Dwy10HzVY/vVYE10ZHHJcYoLfx9X5y5F6gM4+QfrQ8/mI3ASf1/I38/Q2SIh/oEMmBCXGk
t7UCwRaBTSjTwvNV+fU+PQbBzxYKNOV5dYg79vlTvv/uTfMAT5qqjOba/euX2ye8ToufXSazMGC4
w4VH72//ej8gMjOwWdQYL59/OyI2/uyz8Cem0G/l2KnnRw/7Qqz/WH5Ur/3RH7xWIP/4+5fq4766
RInx3R+Oddnn937edIz//5/vVuL7CumbX75WTPfv8/LPXz7gH9/63Xu9fqrXH678x2JX3HvQ96nh
9i+nOcaG/e//gQzJQ560LXYPj6X3rkq6XwT8fkJ/iDr4tln66fHLche/Pezz+vqzhyVYdVe8Pezz
6PzZw652Rb9Ldm8PjMLJ4ln89JH9eHcPlebDK/08vHz2LQ53cVz/9j93cfa/fjvalR59otfz3t+S
Bj7S1x982Cb4U1/o0a5I6GSE7y/Sc1vhs5/giPs0+u7A+3nnswfe7MLS2z20j4/Z6xXYX5LRc/v6
g79/SY53D17/8TP0vKP+7OmfPvic/uuJjmeu0ln4B77Mbf1Q33uPRdG/O7jQRr/+Z896WyfB7u71
OPuzft5XfvbA57tgh55/966p81LG+uyxL/ww9N8NWOiIxtrlZw98uYv96LeT3UP9eqzxirDuH0uv
nz34VVWhLP1gEH+pa332+DePZfXb5DEhreb1ZPdn/1w2/+zRj3cM5gxY1fvgx5fOxGePvqwDjl69
Pe9vld9PHzt991SOxxUqK8XPHpdZ+Zs0+MS/T+/4dtflmBRUvh58vP50WQGx/APjwH8VdfLj6Qnf
h7IXW372Yx37Q1q8Xw5waJl94T8ww17+NDp0v/L5+0P8xyLut9/F/oMgvH792d9/r38RCvXJT/Jz
FPlnD/4vyHufPPzsMfL81ws8PgAvtYl/4In7oRT/5S3+gflwyoz14GMBeL/Mfu5D/wP3zdTzdlXl
l394h9/rmZ99gPfzDEgUPsi7r+HlHf6BtdQhU8EPj08t7rOf4PKRUdT9fo3/uxris8f/s8iYzz4J
/5ip5Kcn8tF+85uU54+70FeJzkf/7P0We/yL++hxV/zn/wEAAP//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image" Target="../media/image3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chart" Target="../charts/chart8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microsoft.com/office/2014/relationships/chartEx" Target="../charts/chartEx3.xml"/><Relationship Id="rId14" Type="http://schemas.openxmlformats.org/officeDocument/2006/relationships/image" Target="../media/image5.sv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Sheet1!A1"/><Relationship Id="rId13" Type="http://schemas.openxmlformats.org/officeDocument/2006/relationships/image" Target="../media/image15.svg"/><Relationship Id="rId18" Type="http://schemas.microsoft.com/office/2014/relationships/chartEx" Target="../charts/chartEx5.xml"/><Relationship Id="rId3" Type="http://schemas.openxmlformats.org/officeDocument/2006/relationships/image" Target="../media/image8.png"/><Relationship Id="rId21" Type="http://schemas.openxmlformats.org/officeDocument/2006/relationships/chart" Target="../charts/chart13.xml"/><Relationship Id="rId7" Type="http://schemas.openxmlformats.org/officeDocument/2006/relationships/image" Target="../media/image11.svg"/><Relationship Id="rId12" Type="http://schemas.openxmlformats.org/officeDocument/2006/relationships/image" Target="../media/image14.png"/><Relationship Id="rId17" Type="http://schemas.openxmlformats.org/officeDocument/2006/relationships/chart" Target="../charts/chart11.xml"/><Relationship Id="rId2" Type="http://schemas.openxmlformats.org/officeDocument/2006/relationships/hyperlink" Target="#DASHBOARD!A1"/><Relationship Id="rId16" Type="http://schemas.microsoft.com/office/2014/relationships/chartEx" Target="../charts/chartEx4.xml"/><Relationship Id="rId20" Type="http://schemas.openxmlformats.org/officeDocument/2006/relationships/chart" Target="../charts/chart12.xml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11" Type="http://schemas.openxmlformats.org/officeDocument/2006/relationships/hyperlink" Target="#Sheet3!A1"/><Relationship Id="rId5" Type="http://schemas.openxmlformats.org/officeDocument/2006/relationships/hyperlink" Target="#Sheet2!A1"/><Relationship Id="rId15" Type="http://schemas.openxmlformats.org/officeDocument/2006/relationships/chart" Target="../charts/chart10.xml"/><Relationship Id="rId10" Type="http://schemas.openxmlformats.org/officeDocument/2006/relationships/image" Target="../media/image13.svg"/><Relationship Id="rId19" Type="http://schemas.microsoft.com/office/2014/relationships/chartEx" Target="../charts/chartEx6.xml"/><Relationship Id="rId4" Type="http://schemas.openxmlformats.org/officeDocument/2006/relationships/image" Target="../media/image9.svg"/><Relationship Id="rId9" Type="http://schemas.openxmlformats.org/officeDocument/2006/relationships/image" Target="../media/image12.png"/><Relationship Id="rId14" Type="http://schemas.openxmlformats.org/officeDocument/2006/relationships/chart" Target="../charts/chart9.xml"/><Relationship Id="rId22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518160</xdr:colOff>
      <xdr:row>13</xdr:row>
      <xdr:rowOff>163830</xdr:rowOff>
    </xdr:from>
    <xdr:to>
      <xdr:col>18</xdr:col>
      <xdr:colOff>106680</xdr:colOff>
      <xdr:row>26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3601E-7821-45A3-AC03-E93AE62200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83820</xdr:colOff>
      <xdr:row>14</xdr:row>
      <xdr:rowOff>80010</xdr:rowOff>
    </xdr:from>
    <xdr:to>
      <xdr:col>19</xdr:col>
      <xdr:colOff>281940</xdr:colOff>
      <xdr:row>27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6C82D4-B9B1-4198-BDE8-0D290FF5E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731520</xdr:colOff>
      <xdr:row>17</xdr:row>
      <xdr:rowOff>91440</xdr:rowOff>
    </xdr:from>
    <xdr:to>
      <xdr:col>19</xdr:col>
      <xdr:colOff>38100</xdr:colOff>
      <xdr:row>22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64B629-FA9E-4E88-9F64-9B9E22293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129540</xdr:colOff>
      <xdr:row>15</xdr:row>
      <xdr:rowOff>137160</xdr:rowOff>
    </xdr:from>
    <xdr:to>
      <xdr:col>16</xdr:col>
      <xdr:colOff>533400</xdr:colOff>
      <xdr:row>23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C1E807-AD9F-4E40-917A-FF4092E08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487680</xdr:colOff>
      <xdr:row>17</xdr:row>
      <xdr:rowOff>83820</xdr:rowOff>
    </xdr:from>
    <xdr:to>
      <xdr:col>18</xdr:col>
      <xdr:colOff>243840</xdr:colOff>
      <xdr:row>26</xdr:row>
      <xdr:rowOff>41910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3D8D550-F019-45FF-9EA1-FC7A20E08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205740</xdr:colOff>
      <xdr:row>1</xdr:row>
      <xdr:rowOff>262890</xdr:rowOff>
    </xdr:from>
    <xdr:to>
      <xdr:col>24</xdr:col>
      <xdr:colOff>510540</xdr:colOff>
      <xdr:row>15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34872B8-08AF-499E-8191-3C666C3121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06500" y="4533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25</xdr:row>
      <xdr:rowOff>172279</xdr:rowOff>
    </xdr:from>
    <xdr:to>
      <xdr:col>4</xdr:col>
      <xdr:colOff>212034</xdr:colOff>
      <xdr:row>37</xdr:row>
      <xdr:rowOff>142461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57D555-AF37-4ABD-A115-9E34E6B49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132520</xdr:colOff>
      <xdr:row>39</xdr:row>
      <xdr:rowOff>159024</xdr:rowOff>
    </xdr:from>
    <xdr:to>
      <xdr:col>4</xdr:col>
      <xdr:colOff>377686</xdr:colOff>
      <xdr:row>49</xdr:row>
      <xdr:rowOff>23189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994F8AD-36B4-4F4B-8C75-4F0D6744F8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520" y="8259084"/>
              <a:ext cx="3194106" cy="18453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13447</xdr:colOff>
      <xdr:row>35</xdr:row>
      <xdr:rowOff>89646</xdr:rowOff>
    </xdr:from>
    <xdr:to>
      <xdr:col>16</xdr:col>
      <xdr:colOff>35859</xdr:colOff>
      <xdr:row>45</xdr:row>
      <xdr:rowOff>134470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4F62D332-DD84-4B31-89E1-6B03EC65C2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30727" y="7397226"/>
              <a:ext cx="4068632" cy="20260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995082</xdr:colOff>
      <xdr:row>30</xdr:row>
      <xdr:rowOff>71718</xdr:rowOff>
    </xdr:from>
    <xdr:to>
      <xdr:col>18</xdr:col>
      <xdr:colOff>215152</xdr:colOff>
      <xdr:row>43</xdr:row>
      <xdr:rowOff>188258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7B9647-9073-4FCB-98F1-4DA239A08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5</xdr:col>
      <xdr:colOff>403411</xdr:colOff>
      <xdr:row>40</xdr:row>
      <xdr:rowOff>170328</xdr:rowOff>
    </xdr:from>
    <xdr:to>
      <xdr:col>5</xdr:col>
      <xdr:colOff>887505</xdr:colOff>
      <xdr:row>45</xdr:row>
      <xdr:rowOff>17929</xdr:rowOff>
    </xdr:to>
    <xdr:pic>
      <xdr:nvPicPr>
        <xdr:cNvPr id="16" name="Graphic 15" descr="Man with solid fill">
          <a:extLst>
            <a:ext uri="{FF2B5EF4-FFF2-40B4-BE49-F238E27FC236}">
              <a16:creationId xmlns:a16="http://schemas.microsoft.com/office/drawing/2014/main" id="{17DC4671-ADA9-4146-81ED-ED725B2A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177552" y="8417857"/>
          <a:ext cx="484094" cy="833719"/>
        </a:xfrm>
        <a:prstGeom prst="rect">
          <a:avLst/>
        </a:prstGeom>
      </xdr:spPr>
    </xdr:pic>
    <xdr:clientData/>
  </xdr:twoCellAnchor>
  <xdr:twoCellAnchor editAs="oneCell">
    <xdr:from>
      <xdr:col>13</xdr:col>
      <xdr:colOff>170329</xdr:colOff>
      <xdr:row>31</xdr:row>
      <xdr:rowOff>80683</xdr:rowOff>
    </xdr:from>
    <xdr:to>
      <xdr:col>14</xdr:col>
      <xdr:colOff>475129</xdr:colOff>
      <xdr:row>36</xdr:row>
      <xdr:rowOff>8966</xdr:rowOff>
    </xdr:to>
    <xdr:pic>
      <xdr:nvPicPr>
        <xdr:cNvPr id="18" name="Graphic 17" descr="Woman with solid fill">
          <a:extLst>
            <a:ext uri="{FF2B5EF4-FFF2-40B4-BE49-F238E27FC236}">
              <a16:creationId xmlns:a16="http://schemas.microsoft.com/office/drawing/2014/main" id="{5639D9D8-910D-4495-9F69-749F11DAF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103223" y="6553201"/>
          <a:ext cx="914400" cy="914400"/>
        </a:xfrm>
        <a:prstGeom prst="rect">
          <a:avLst/>
        </a:prstGeom>
      </xdr:spPr>
    </xdr:pic>
    <xdr:clientData/>
  </xdr:twoCellAnchor>
  <xdr:twoCellAnchor>
    <xdr:from>
      <xdr:col>5</xdr:col>
      <xdr:colOff>739589</xdr:colOff>
      <xdr:row>39</xdr:row>
      <xdr:rowOff>8965</xdr:rowOff>
    </xdr:from>
    <xdr:to>
      <xdr:col>8</xdr:col>
      <xdr:colOff>62753</xdr:colOff>
      <xdr:row>46</xdr:row>
      <xdr:rowOff>107576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4B07E4C-EF76-4455-8306-87175AC6C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159488</xdr:rowOff>
    </xdr:from>
    <xdr:to>
      <xdr:col>1</xdr:col>
      <xdr:colOff>342900</xdr:colOff>
      <xdr:row>31</xdr:row>
      <xdr:rowOff>45720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1AE675-2CA6-404C-B9D6-8FD0BBDD94D5}"/>
            </a:ext>
          </a:extLst>
        </xdr:cNvPr>
        <xdr:cNvSpPr/>
      </xdr:nvSpPr>
      <xdr:spPr>
        <a:xfrm>
          <a:off x="0" y="891008"/>
          <a:ext cx="952500" cy="4823992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388621</xdr:colOff>
      <xdr:row>0</xdr:row>
      <xdr:rowOff>0</xdr:rowOff>
    </xdr:from>
    <xdr:to>
      <xdr:col>23</xdr:col>
      <xdr:colOff>106681</xdr:colOff>
      <xdr:row>4</xdr:row>
      <xdr:rowOff>124048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2D4BC04-DAFB-4886-BB2C-DBDADB85F162}"/>
            </a:ext>
          </a:extLst>
        </xdr:cNvPr>
        <xdr:cNvSpPr/>
      </xdr:nvSpPr>
      <xdr:spPr>
        <a:xfrm>
          <a:off x="998221" y="0"/>
          <a:ext cx="13129260" cy="855568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5400" u="none">
              <a:solidFill>
                <a:schemeClr val="bg1"/>
              </a:solidFill>
              <a:effectLst>
                <a:glow rad="101600">
                  <a:schemeClr val="accent2">
                    <a:lumMod val="40000"/>
                    <a:lumOff val="60000"/>
                    <a:alpha val="60000"/>
                  </a:schemeClr>
                </a:glow>
              </a:effectLst>
            </a:rPr>
            <a:t>Amazon</a:t>
          </a:r>
          <a:r>
            <a:rPr lang="en-IN" sz="5400" u="none" baseline="0">
              <a:solidFill>
                <a:schemeClr val="bg1"/>
              </a:solidFill>
              <a:effectLst>
                <a:glow rad="101600">
                  <a:schemeClr val="accent2">
                    <a:lumMod val="40000"/>
                    <a:lumOff val="60000"/>
                    <a:alpha val="60000"/>
                  </a:schemeClr>
                </a:glow>
              </a:effectLst>
            </a:rPr>
            <a:t> Performance Dashboard 2024</a:t>
          </a:r>
          <a:endParaRPr lang="en-IN" sz="5400" u="none">
            <a:solidFill>
              <a:schemeClr val="bg1"/>
            </a:solidFill>
            <a:effectLst>
              <a:glow rad="101600">
                <a:schemeClr val="accent2">
                  <a:lumMod val="40000"/>
                  <a:lumOff val="60000"/>
                  <a:alpha val="60000"/>
                </a:schemeClr>
              </a:glow>
            </a:effectLst>
          </a:endParaRPr>
        </a:p>
      </xdr:txBody>
    </xdr:sp>
    <xdr:clientData/>
  </xdr:twoCellAnchor>
  <xdr:twoCellAnchor>
    <xdr:from>
      <xdr:col>1</xdr:col>
      <xdr:colOff>365760</xdr:colOff>
      <xdr:row>4</xdr:row>
      <xdr:rowOff>144780</xdr:rowOff>
    </xdr:from>
    <xdr:to>
      <xdr:col>6</xdr:col>
      <xdr:colOff>571500</xdr:colOff>
      <xdr:row>15</xdr:row>
      <xdr:rowOff>99060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96896AD-7E71-4FB5-9072-0C346EC6945C}"/>
            </a:ext>
          </a:extLst>
        </xdr:cNvPr>
        <xdr:cNvSpPr/>
      </xdr:nvSpPr>
      <xdr:spPr>
        <a:xfrm>
          <a:off x="975360" y="876300"/>
          <a:ext cx="3253740" cy="196596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0</xdr:colOff>
      <xdr:row>4</xdr:row>
      <xdr:rowOff>83820</xdr:rowOff>
    </xdr:from>
    <xdr:to>
      <xdr:col>12</xdr:col>
      <xdr:colOff>228600</xdr:colOff>
      <xdr:row>15</xdr:row>
      <xdr:rowOff>106680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C564275-210D-4BFD-93BC-74D63AF9EBF2}"/>
            </a:ext>
          </a:extLst>
        </xdr:cNvPr>
        <xdr:cNvSpPr/>
      </xdr:nvSpPr>
      <xdr:spPr>
        <a:xfrm>
          <a:off x="4267200" y="815340"/>
          <a:ext cx="3276600" cy="203454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251460</xdr:colOff>
      <xdr:row>4</xdr:row>
      <xdr:rowOff>129540</xdr:rowOff>
    </xdr:from>
    <xdr:to>
      <xdr:col>17</xdr:col>
      <xdr:colOff>434340</xdr:colOff>
      <xdr:row>15</xdr:row>
      <xdr:rowOff>121920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91E3D51-81A2-4AB3-8DB2-6FADD6C9B464}"/>
            </a:ext>
          </a:extLst>
        </xdr:cNvPr>
        <xdr:cNvSpPr/>
      </xdr:nvSpPr>
      <xdr:spPr>
        <a:xfrm>
          <a:off x="7566660" y="861060"/>
          <a:ext cx="3230880" cy="200406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289560</xdr:colOff>
      <xdr:row>15</xdr:row>
      <xdr:rowOff>144780</xdr:rowOff>
    </xdr:from>
    <xdr:to>
      <xdr:col>6</xdr:col>
      <xdr:colOff>548640</xdr:colOff>
      <xdr:row>31</xdr:row>
      <xdr:rowOff>68580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7555D548-9DB0-423E-86F0-662DE94110B2}"/>
            </a:ext>
          </a:extLst>
        </xdr:cNvPr>
        <xdr:cNvSpPr/>
      </xdr:nvSpPr>
      <xdr:spPr>
        <a:xfrm>
          <a:off x="899160" y="2887980"/>
          <a:ext cx="3307080" cy="284988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243840</xdr:colOff>
      <xdr:row>15</xdr:row>
      <xdr:rowOff>152400</xdr:rowOff>
    </xdr:from>
    <xdr:to>
      <xdr:col>17</xdr:col>
      <xdr:colOff>411480</xdr:colOff>
      <xdr:row>31</xdr:row>
      <xdr:rowOff>91440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A13771F-16A9-4DA4-A108-CA2346F95B60}"/>
            </a:ext>
          </a:extLst>
        </xdr:cNvPr>
        <xdr:cNvSpPr/>
      </xdr:nvSpPr>
      <xdr:spPr>
        <a:xfrm>
          <a:off x="7559040" y="2895600"/>
          <a:ext cx="3215640" cy="286512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glow rad="101600">
                <a:schemeClr val="accent2">
                  <a:lumMod val="20000"/>
                  <a:lumOff val="80000"/>
                  <a:alpha val="60000"/>
                </a:schemeClr>
              </a:glow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twoCellAnchor>
  <xdr:twoCellAnchor>
    <xdr:from>
      <xdr:col>6</xdr:col>
      <xdr:colOff>586740</xdr:colOff>
      <xdr:row>15</xdr:row>
      <xdr:rowOff>152400</xdr:rowOff>
    </xdr:from>
    <xdr:to>
      <xdr:col>12</xdr:col>
      <xdr:colOff>220980</xdr:colOff>
      <xdr:row>31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C3AAD6A-E802-4316-BCE2-E437AD87E8A5}"/>
            </a:ext>
          </a:extLst>
        </xdr:cNvPr>
        <xdr:cNvSpPr/>
      </xdr:nvSpPr>
      <xdr:spPr>
        <a:xfrm>
          <a:off x="4244340" y="2895600"/>
          <a:ext cx="3291840" cy="284988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335280</xdr:colOff>
      <xdr:row>4</xdr:row>
      <xdr:rowOff>175260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B20F54E-26E3-4022-8A01-66F8F219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44880" cy="906780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5</xdr:row>
      <xdr:rowOff>7088</xdr:rowOff>
    </xdr:from>
    <xdr:to>
      <xdr:col>1</xdr:col>
      <xdr:colOff>335280</xdr:colOff>
      <xdr:row>10</xdr:row>
      <xdr:rowOff>7088</xdr:rowOff>
    </xdr:to>
    <xdr:pic>
      <xdr:nvPicPr>
        <xdr:cNvPr id="41" name="Graphic 40" descr="Bar graph with downward trend with solid fil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7F7F4A-31C2-4E38-83D1-AC02ADDF1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0480" y="92148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167640</xdr:rowOff>
    </xdr:from>
    <xdr:to>
      <xdr:col>1</xdr:col>
      <xdr:colOff>304800</xdr:colOff>
      <xdr:row>14</xdr:row>
      <xdr:rowOff>167640</xdr:rowOff>
    </xdr:to>
    <xdr:pic>
      <xdr:nvPicPr>
        <xdr:cNvPr id="43" name="Graphic 42" descr="Pencil with solid fil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3884016-C53C-4CAC-8A81-03DDAC8A0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0" y="181356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15</xdr:row>
      <xdr:rowOff>99060</xdr:rowOff>
    </xdr:from>
    <xdr:to>
      <xdr:col>1</xdr:col>
      <xdr:colOff>350520</xdr:colOff>
      <xdr:row>20</xdr:row>
      <xdr:rowOff>99060</xdr:rowOff>
    </xdr:to>
    <xdr:pic>
      <xdr:nvPicPr>
        <xdr:cNvPr id="45" name="Graphic 44" descr="Database with solid fil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4645362-E7DA-477C-9359-7B93E018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5720" y="284226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</xdr:colOff>
      <xdr:row>21</xdr:row>
      <xdr:rowOff>30480</xdr:rowOff>
    </xdr:from>
    <xdr:to>
      <xdr:col>1</xdr:col>
      <xdr:colOff>327660</xdr:colOff>
      <xdr:row>26</xdr:row>
      <xdr:rowOff>30480</xdr:rowOff>
    </xdr:to>
    <xdr:pic>
      <xdr:nvPicPr>
        <xdr:cNvPr id="47" name="Graphic 46" descr="Bullseye with solid fil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C76862C-B8FB-4829-9681-4667419F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2860" y="3870960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312420</xdr:colOff>
      <xdr:row>4</xdr:row>
      <xdr:rowOff>99060</xdr:rowOff>
    </xdr:from>
    <xdr:to>
      <xdr:col>7</xdr:col>
      <xdr:colOff>45720</xdr:colOff>
      <xdr:row>15</xdr:row>
      <xdr:rowOff>160020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269AE61A-7D79-4E0B-B3A0-8582D2F82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571501</xdr:colOff>
      <xdr:row>4</xdr:row>
      <xdr:rowOff>129540</xdr:rowOff>
    </xdr:from>
    <xdr:to>
      <xdr:col>12</xdr:col>
      <xdr:colOff>251461</xdr:colOff>
      <xdr:row>15</xdr:row>
      <xdr:rowOff>99060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BC4C694-EA67-40F0-93C2-43B7E39F0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251460</xdr:colOff>
      <xdr:row>4</xdr:row>
      <xdr:rowOff>129541</xdr:rowOff>
    </xdr:from>
    <xdr:to>
      <xdr:col>17</xdr:col>
      <xdr:colOff>388620</xdr:colOff>
      <xdr:row>15</xdr:row>
      <xdr:rowOff>106681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B48F4A88-3CE6-42A3-8C3D-C664326403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6660" y="861061"/>
              <a:ext cx="3185160" cy="1988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381000</xdr:colOff>
      <xdr:row>15</xdr:row>
      <xdr:rowOff>144781</xdr:rowOff>
    </xdr:from>
    <xdr:to>
      <xdr:col>6</xdr:col>
      <xdr:colOff>518160</xdr:colOff>
      <xdr:row>27</xdr:row>
      <xdr:rowOff>91441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A4554E6-D56E-40B1-B60A-C86DCBE659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0</xdr:colOff>
      <xdr:row>15</xdr:row>
      <xdr:rowOff>99060</xdr:rowOff>
    </xdr:from>
    <xdr:to>
      <xdr:col>12</xdr:col>
      <xdr:colOff>289560</xdr:colOff>
      <xdr:row>31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E2111FCD-8569-463A-BB2C-9C549D1D50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2842260"/>
              <a:ext cx="3337560" cy="28498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220980</xdr:colOff>
      <xdr:row>16</xdr:row>
      <xdr:rowOff>38100</xdr:rowOff>
    </xdr:from>
    <xdr:to>
      <xdr:col>17</xdr:col>
      <xdr:colOff>403859</xdr:colOff>
      <xdr:row>30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3" name="Chart 22">
              <a:extLst>
                <a:ext uri="{FF2B5EF4-FFF2-40B4-BE49-F238E27FC236}">
                  <a16:creationId xmlns:a16="http://schemas.microsoft.com/office/drawing/2014/main" id="{8C5AE2FD-FBAC-4962-B104-4EF7030171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6180" y="2964180"/>
              <a:ext cx="3230879" cy="2682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350520</xdr:colOff>
      <xdr:row>25</xdr:row>
      <xdr:rowOff>68580</xdr:rowOff>
    </xdr:from>
    <xdr:to>
      <xdr:col>14</xdr:col>
      <xdr:colOff>541020</xdr:colOff>
      <xdr:row>37</xdr:row>
      <xdr:rowOff>60960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729F2C45-DDC5-4595-9A44-74020B4B9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17</xdr:col>
      <xdr:colOff>441960</xdr:colOff>
      <xdr:row>4</xdr:row>
      <xdr:rowOff>91440</xdr:rowOff>
    </xdr:from>
    <xdr:to>
      <xdr:col>23</xdr:col>
      <xdr:colOff>175260</xdr:colOff>
      <xdr:row>31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84BBC9D-81D7-41A0-85F2-DAAB222FFB21}"/>
            </a:ext>
          </a:extLst>
        </xdr:cNvPr>
        <xdr:cNvSpPr/>
      </xdr:nvSpPr>
      <xdr:spPr>
        <a:xfrm flipV="1">
          <a:off x="10805160" y="822960"/>
          <a:ext cx="3390900" cy="494538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449580</xdr:colOff>
      <xdr:row>4</xdr:row>
      <xdr:rowOff>137160</xdr:rowOff>
    </xdr:from>
    <xdr:to>
      <xdr:col>24</xdr:col>
      <xdr:colOff>548640</xdr:colOff>
      <xdr:row>17</xdr:row>
      <xdr:rowOff>99060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B12A6AC-5917-4564-BD1B-88401E0C7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18</xdr:col>
      <xdr:colOff>365760</xdr:colOff>
      <xdr:row>17</xdr:row>
      <xdr:rowOff>91440</xdr:rowOff>
    </xdr:from>
    <xdr:to>
      <xdr:col>23</xdr:col>
      <xdr:colOff>381000</xdr:colOff>
      <xdr:row>31</xdr:row>
      <xdr:rowOff>60960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5CCE73A-583C-45A8-AFB1-B68ECF5D4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7</xdr:col>
      <xdr:colOff>464820</xdr:colOff>
      <xdr:row>20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C0B860-CE80-4B3E-B455-BA43BD485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14</xdr:col>
      <xdr:colOff>304800</xdr:colOff>
      <xdr:row>24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B2154A-28AD-48F5-A62A-5957BA4BB7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08AA-1E3B-4167-BF0E-152DF96EC951}">
  <dimension ref="B1:O322"/>
  <sheetViews>
    <sheetView topLeftCell="A306" zoomScaleNormal="100" workbookViewId="0">
      <selection activeCell="I322" sqref="I322:J322"/>
    </sheetView>
  </sheetViews>
  <sheetFormatPr defaultRowHeight="14.4" x14ac:dyDescent="0.3"/>
  <cols>
    <col min="2" max="2" width="20.33203125" customWidth="1"/>
    <col min="3" max="3" width="19.109375" customWidth="1"/>
    <col min="4" max="4" width="10.21875" customWidth="1"/>
    <col min="7" max="7" width="12" customWidth="1"/>
    <col min="10" max="10" width="14.5546875" customWidth="1"/>
    <col min="11" max="11" width="12.88671875" bestFit="1" customWidth="1"/>
  </cols>
  <sheetData>
    <row r="1" spans="2:15" ht="28.2" thickBot="1" x14ac:dyDescent="0.35">
      <c r="B1" s="1" t="s">
        <v>0</v>
      </c>
      <c r="C1" s="1" t="s">
        <v>1</v>
      </c>
      <c r="D1" s="15" t="s">
        <v>2</v>
      </c>
      <c r="E1" s="15" t="s">
        <v>3</v>
      </c>
      <c r="F1" s="15" t="s">
        <v>4</v>
      </c>
      <c r="G1" s="1" t="s">
        <v>5</v>
      </c>
      <c r="H1" s="1" t="s">
        <v>6</v>
      </c>
      <c r="I1" s="1" t="s">
        <v>7</v>
      </c>
      <c r="J1" s="15" t="s">
        <v>8</v>
      </c>
      <c r="K1" s="15"/>
      <c r="M1" t="s">
        <v>12</v>
      </c>
      <c r="N1" t="s">
        <v>13</v>
      </c>
      <c r="O1" t="s">
        <v>13</v>
      </c>
    </row>
    <row r="2" spans="2:15" ht="16.2" thickBot="1" x14ac:dyDescent="0.35">
      <c r="B2" s="2" t="s">
        <v>9</v>
      </c>
      <c r="C2" s="21" t="s">
        <v>10</v>
      </c>
      <c r="D2" s="18" t="s">
        <v>11</v>
      </c>
      <c r="E2" s="18" t="s">
        <v>12</v>
      </c>
      <c r="F2" s="18" t="s">
        <v>13</v>
      </c>
      <c r="G2" s="23" t="s">
        <v>13</v>
      </c>
      <c r="H2" s="2" t="s">
        <v>14</v>
      </c>
      <c r="I2" s="21">
        <v>4292</v>
      </c>
      <c r="J2" s="18">
        <v>3360636</v>
      </c>
      <c r="K2" s="27"/>
      <c r="L2" s="14"/>
      <c r="M2" t="s">
        <v>17</v>
      </c>
      <c r="N2" t="s">
        <v>18</v>
      </c>
      <c r="O2" t="s">
        <v>19</v>
      </c>
    </row>
    <row r="3" spans="2:15" ht="42" thickBot="1" x14ac:dyDescent="0.35">
      <c r="B3" s="2" t="s">
        <v>15</v>
      </c>
      <c r="C3" s="21" t="s">
        <v>10</v>
      </c>
      <c r="D3" s="18" t="s">
        <v>16</v>
      </c>
      <c r="E3" s="18" t="s">
        <v>17</v>
      </c>
      <c r="F3" s="18" t="s">
        <v>18</v>
      </c>
      <c r="G3" s="23" t="s">
        <v>19</v>
      </c>
      <c r="H3" s="2" t="s">
        <v>14</v>
      </c>
      <c r="I3" s="21">
        <v>8037</v>
      </c>
      <c r="J3" s="18">
        <v>4645386</v>
      </c>
      <c r="K3" s="19"/>
      <c r="L3" s="14"/>
      <c r="M3" t="s">
        <v>22</v>
      </c>
      <c r="N3" t="s">
        <v>23</v>
      </c>
      <c r="O3" t="s">
        <v>24</v>
      </c>
    </row>
    <row r="4" spans="2:15" ht="28.2" thickBot="1" x14ac:dyDescent="0.35">
      <c r="B4" s="2" t="s">
        <v>20</v>
      </c>
      <c r="C4" s="21" t="s">
        <v>10</v>
      </c>
      <c r="D4" s="18" t="s">
        <v>21</v>
      </c>
      <c r="E4" s="18" t="s">
        <v>22</v>
      </c>
      <c r="F4" s="18" t="s">
        <v>23</v>
      </c>
      <c r="G4" s="23" t="s">
        <v>24</v>
      </c>
      <c r="H4" s="2" t="s">
        <v>14</v>
      </c>
      <c r="I4" s="21">
        <v>2415</v>
      </c>
      <c r="J4" s="20">
        <v>1523865</v>
      </c>
      <c r="K4" s="19"/>
      <c r="L4" s="14"/>
      <c r="M4" t="s">
        <v>26</v>
      </c>
      <c r="N4" t="s">
        <v>27</v>
      </c>
      <c r="O4" t="s">
        <v>28</v>
      </c>
    </row>
    <row r="5" spans="2:15" ht="28.2" thickBot="1" x14ac:dyDescent="0.35">
      <c r="B5" s="2" t="s">
        <v>25</v>
      </c>
      <c r="C5" s="21" t="s">
        <v>10</v>
      </c>
      <c r="D5" s="26" t="s">
        <v>21</v>
      </c>
      <c r="E5" s="26" t="s">
        <v>26</v>
      </c>
      <c r="F5" s="26" t="s">
        <v>27</v>
      </c>
      <c r="G5" s="23" t="s">
        <v>28</v>
      </c>
      <c r="H5" s="2" t="s">
        <v>14</v>
      </c>
      <c r="I5" s="21">
        <v>3941</v>
      </c>
      <c r="J5" s="20">
        <v>3566605</v>
      </c>
      <c r="K5" s="19"/>
      <c r="L5" s="26" t="s">
        <v>27</v>
      </c>
      <c r="M5" t="s">
        <v>57</v>
      </c>
      <c r="N5" t="s">
        <v>32</v>
      </c>
      <c r="O5" t="s">
        <v>33</v>
      </c>
    </row>
    <row r="6" spans="2:15" ht="28.2" thickBot="1" x14ac:dyDescent="0.35">
      <c r="B6" s="2" t="s">
        <v>29</v>
      </c>
      <c r="C6" s="2" t="s">
        <v>30</v>
      </c>
      <c r="D6" s="16" t="s">
        <v>31</v>
      </c>
      <c r="E6" s="16" t="s">
        <v>26</v>
      </c>
      <c r="F6" s="16" t="s">
        <v>32</v>
      </c>
      <c r="G6" s="2" t="s">
        <v>33</v>
      </c>
      <c r="H6" s="2" t="s">
        <v>14</v>
      </c>
      <c r="I6" s="21">
        <v>4607</v>
      </c>
      <c r="J6" s="26">
        <v>4064994</v>
      </c>
      <c r="K6" s="26"/>
      <c r="L6" s="14"/>
      <c r="N6" t="s">
        <v>35</v>
      </c>
      <c r="O6" t="s">
        <v>36</v>
      </c>
    </row>
    <row r="7" spans="2:15" ht="28.2" thickBot="1" x14ac:dyDescent="0.35">
      <c r="B7" s="2" t="s">
        <v>34</v>
      </c>
      <c r="C7" s="2" t="s">
        <v>30</v>
      </c>
      <c r="D7" s="2" t="s">
        <v>31</v>
      </c>
      <c r="E7" s="2" t="s">
        <v>26</v>
      </c>
      <c r="F7" s="2" t="s">
        <v>35</v>
      </c>
      <c r="G7" s="2" t="s">
        <v>36</v>
      </c>
      <c r="H7" s="2" t="s">
        <v>14</v>
      </c>
      <c r="I7" s="2">
        <v>4261</v>
      </c>
      <c r="J7" s="16">
        <v>4064994</v>
      </c>
      <c r="K7" s="17"/>
      <c r="N7" t="s">
        <v>38</v>
      </c>
      <c r="O7" t="s">
        <v>39</v>
      </c>
    </row>
    <row r="8" spans="2:15" ht="28.2" thickBot="1" x14ac:dyDescent="0.35">
      <c r="B8" s="2" t="s">
        <v>37</v>
      </c>
      <c r="C8" s="2" t="s">
        <v>30</v>
      </c>
      <c r="D8" s="2" t="s">
        <v>11</v>
      </c>
      <c r="E8" s="2" t="s">
        <v>17</v>
      </c>
      <c r="F8" s="2" t="s">
        <v>38</v>
      </c>
      <c r="G8" s="2" t="s">
        <v>39</v>
      </c>
      <c r="H8" s="2" t="s">
        <v>14</v>
      </c>
      <c r="I8" s="2">
        <v>9084</v>
      </c>
      <c r="J8" s="2">
        <v>5541240</v>
      </c>
      <c r="K8" s="3"/>
      <c r="M8" t="s">
        <v>77</v>
      </c>
      <c r="N8" t="s">
        <v>41</v>
      </c>
      <c r="O8" t="s">
        <v>44</v>
      </c>
    </row>
    <row r="9" spans="2:15" ht="28.2" thickBot="1" x14ac:dyDescent="0.35">
      <c r="B9" s="2" t="s">
        <v>40</v>
      </c>
      <c r="C9" s="2" t="s">
        <v>30</v>
      </c>
      <c r="D9" s="2" t="s">
        <v>31</v>
      </c>
      <c r="E9" s="2" t="s">
        <v>17</v>
      </c>
      <c r="F9" s="2" t="s">
        <v>41</v>
      </c>
      <c r="G9" s="2" t="s">
        <v>19</v>
      </c>
      <c r="H9" s="2" t="s">
        <v>14</v>
      </c>
      <c r="I9" s="2">
        <v>6694</v>
      </c>
      <c r="J9" s="2">
        <v>4966948</v>
      </c>
      <c r="K9" s="3"/>
      <c r="M9" t="s">
        <v>115</v>
      </c>
      <c r="N9" t="s">
        <v>43</v>
      </c>
      <c r="O9" t="s">
        <v>50</v>
      </c>
    </row>
    <row r="10" spans="2:15" ht="28.2" thickBot="1" x14ac:dyDescent="0.35">
      <c r="B10" s="2" t="s">
        <v>42</v>
      </c>
      <c r="C10" s="2" t="s">
        <v>10</v>
      </c>
      <c r="D10" s="2" t="s">
        <v>2</v>
      </c>
      <c r="E10" s="2" t="s">
        <v>12</v>
      </c>
      <c r="F10" s="2" t="s">
        <v>43</v>
      </c>
      <c r="G10" s="2" t="s">
        <v>44</v>
      </c>
      <c r="H10" s="2" t="s">
        <v>45</v>
      </c>
      <c r="I10" s="2">
        <v>2678</v>
      </c>
      <c r="J10" s="2">
        <v>1518426</v>
      </c>
      <c r="K10" s="3"/>
      <c r="N10" t="s">
        <v>47</v>
      </c>
    </row>
    <row r="11" spans="2:15" ht="28.2" thickBot="1" x14ac:dyDescent="0.35">
      <c r="B11" s="2" t="s">
        <v>46</v>
      </c>
      <c r="C11" s="2" t="s">
        <v>10</v>
      </c>
      <c r="D11" s="2" t="s">
        <v>11</v>
      </c>
      <c r="E11" s="2" t="s">
        <v>17</v>
      </c>
      <c r="F11" s="2" t="s">
        <v>47</v>
      </c>
      <c r="G11" s="2" t="s">
        <v>39</v>
      </c>
      <c r="H11" s="2" t="s">
        <v>45</v>
      </c>
      <c r="I11" s="2">
        <v>1631</v>
      </c>
      <c r="J11" s="2">
        <v>828548</v>
      </c>
      <c r="K11" s="3"/>
      <c r="N11" t="s">
        <v>49</v>
      </c>
      <c r="O11" t="s">
        <v>59</v>
      </c>
    </row>
    <row r="12" spans="2:15" ht="28.2" thickBot="1" x14ac:dyDescent="0.35">
      <c r="B12" s="2" t="s">
        <v>48</v>
      </c>
      <c r="C12" s="2" t="s">
        <v>10</v>
      </c>
      <c r="D12" s="2" t="s">
        <v>11</v>
      </c>
      <c r="E12" s="2" t="s">
        <v>17</v>
      </c>
      <c r="F12" s="2" t="s">
        <v>49</v>
      </c>
      <c r="G12" s="2" t="s">
        <v>50</v>
      </c>
      <c r="H12" s="2" t="s">
        <v>45</v>
      </c>
      <c r="I12" s="2">
        <v>4171</v>
      </c>
      <c r="J12" s="2">
        <v>2681953</v>
      </c>
      <c r="K12" s="3"/>
      <c r="N12" t="s">
        <v>52</v>
      </c>
      <c r="O12" t="s">
        <v>5</v>
      </c>
    </row>
    <row r="13" spans="2:15" ht="28.2" thickBot="1" x14ac:dyDescent="0.35">
      <c r="B13" s="2" t="s">
        <v>51</v>
      </c>
      <c r="C13" s="2" t="s">
        <v>10</v>
      </c>
      <c r="D13" s="2" t="s">
        <v>11</v>
      </c>
      <c r="E13" s="2" t="s">
        <v>12</v>
      </c>
      <c r="F13" s="2" t="s">
        <v>52</v>
      </c>
      <c r="G13" s="2" t="s">
        <v>50</v>
      </c>
      <c r="H13" s="2" t="s">
        <v>45</v>
      </c>
      <c r="I13" s="2">
        <v>4283</v>
      </c>
      <c r="J13" s="2">
        <v>3443532</v>
      </c>
      <c r="K13" s="3"/>
      <c r="N13" t="s">
        <v>55</v>
      </c>
      <c r="O13" t="s">
        <v>79</v>
      </c>
    </row>
    <row r="14" spans="2:15" ht="16.2" thickBot="1" x14ac:dyDescent="0.35">
      <c r="B14" s="2" t="s">
        <v>53</v>
      </c>
      <c r="C14" s="2" t="s">
        <v>10</v>
      </c>
      <c r="D14" s="2" t="s">
        <v>54</v>
      </c>
      <c r="E14" s="2" t="s">
        <v>17</v>
      </c>
      <c r="F14" s="2" t="s">
        <v>55</v>
      </c>
      <c r="G14" s="2"/>
      <c r="H14" s="2" t="s">
        <v>45</v>
      </c>
      <c r="I14" s="2">
        <v>4249</v>
      </c>
      <c r="J14" s="2">
        <v>3577658</v>
      </c>
      <c r="K14" s="3"/>
      <c r="N14" t="s">
        <v>58</v>
      </c>
      <c r="O14" t="s">
        <v>82</v>
      </c>
    </row>
    <row r="15" spans="2:15" ht="28.2" thickBot="1" x14ac:dyDescent="0.35">
      <c r="B15" s="2" t="s">
        <v>56</v>
      </c>
      <c r="C15" s="2" t="s">
        <v>10</v>
      </c>
      <c r="D15" s="2" t="s">
        <v>11</v>
      </c>
      <c r="E15" s="2" t="s">
        <v>57</v>
      </c>
      <c r="F15" s="2" t="s">
        <v>58</v>
      </c>
      <c r="G15" s="2" t="s">
        <v>59</v>
      </c>
      <c r="H15" s="2" t="s">
        <v>45</v>
      </c>
      <c r="I15" s="2">
        <v>1902</v>
      </c>
      <c r="J15" s="2">
        <v>1276242</v>
      </c>
      <c r="K15" s="3"/>
      <c r="N15" t="s">
        <v>62</v>
      </c>
      <c r="O15" t="s">
        <v>85</v>
      </c>
    </row>
    <row r="16" spans="2:15" ht="28.2" thickBot="1" x14ac:dyDescent="0.35">
      <c r="B16" s="2" t="s">
        <v>60</v>
      </c>
      <c r="C16" s="2" t="s">
        <v>30</v>
      </c>
      <c r="D16" s="2" t="s">
        <v>61</v>
      </c>
      <c r="E16" s="2" t="s">
        <v>17</v>
      </c>
      <c r="F16" s="2" t="s">
        <v>62</v>
      </c>
      <c r="G16" s="2" t="s">
        <v>39</v>
      </c>
      <c r="H16" s="2" t="s">
        <v>14</v>
      </c>
      <c r="I16" s="2">
        <v>5603</v>
      </c>
      <c r="J16" s="2">
        <v>5512404</v>
      </c>
      <c r="K16" s="3"/>
      <c r="N16" t="s">
        <v>64</v>
      </c>
      <c r="O16" t="s">
        <v>93</v>
      </c>
    </row>
    <row r="17" spans="2:15" ht="28.2" thickBot="1" x14ac:dyDescent="0.35">
      <c r="B17" s="2" t="s">
        <v>63</v>
      </c>
      <c r="C17" s="2" t="s">
        <v>30</v>
      </c>
      <c r="D17" s="2" t="s">
        <v>61</v>
      </c>
      <c r="E17" s="2" t="s">
        <v>12</v>
      </c>
      <c r="F17" s="2" t="s">
        <v>64</v>
      </c>
      <c r="G17" s="2" t="s">
        <v>50</v>
      </c>
      <c r="H17" s="2" t="s">
        <v>14</v>
      </c>
      <c r="I17" s="2">
        <v>9513</v>
      </c>
      <c r="J17" s="2">
        <v>1984929</v>
      </c>
      <c r="K17" s="3"/>
      <c r="N17" t="s">
        <v>67</v>
      </c>
      <c r="O17" t="s">
        <v>116</v>
      </c>
    </row>
    <row r="18" spans="2:15" ht="28.2" thickBot="1" x14ac:dyDescent="0.35">
      <c r="B18" s="2" t="s">
        <v>65</v>
      </c>
      <c r="C18" s="2" t="s">
        <v>10</v>
      </c>
      <c r="D18" s="2" t="s">
        <v>66</v>
      </c>
      <c r="E18" s="2" t="s">
        <v>12</v>
      </c>
      <c r="F18" s="2" t="s">
        <v>67</v>
      </c>
      <c r="G18" s="2" t="s">
        <v>50</v>
      </c>
      <c r="H18" s="2" t="s">
        <v>14</v>
      </c>
      <c r="I18" s="2">
        <v>9633</v>
      </c>
      <c r="J18" s="2">
        <v>3014882</v>
      </c>
      <c r="K18" s="3"/>
      <c r="N18" t="s">
        <v>69</v>
      </c>
      <c r="O18" t="s">
        <v>121</v>
      </c>
    </row>
    <row r="19" spans="2:15" ht="28.2" thickBot="1" x14ac:dyDescent="0.35">
      <c r="B19" s="2" t="s">
        <v>68</v>
      </c>
      <c r="C19" s="2" t="s">
        <v>10</v>
      </c>
      <c r="D19" s="2" t="s">
        <v>66</v>
      </c>
      <c r="E19" s="2" t="s">
        <v>26</v>
      </c>
      <c r="F19" s="2" t="s">
        <v>69</v>
      </c>
      <c r="G19" s="2" t="s">
        <v>28</v>
      </c>
      <c r="H19" s="2" t="s">
        <v>14</v>
      </c>
      <c r="I19" s="2">
        <v>4332</v>
      </c>
      <c r="J19" s="2">
        <v>4510462</v>
      </c>
      <c r="K19" s="3"/>
      <c r="N19" t="s">
        <v>72</v>
      </c>
      <c r="O19" t="s">
        <v>124</v>
      </c>
    </row>
    <row r="20" spans="2:15" ht="28.2" thickBot="1" x14ac:dyDescent="0.35">
      <c r="B20" s="2" t="s">
        <v>70</v>
      </c>
      <c r="C20" s="2" t="s">
        <v>71</v>
      </c>
      <c r="D20" s="2" t="s">
        <v>66</v>
      </c>
      <c r="E20" s="2" t="s">
        <v>26</v>
      </c>
      <c r="F20" s="2" t="s">
        <v>72</v>
      </c>
      <c r="G20" s="2" t="s">
        <v>28</v>
      </c>
      <c r="H20" s="2" t="s">
        <v>14</v>
      </c>
      <c r="I20" s="2">
        <v>1995</v>
      </c>
      <c r="J20" s="2">
        <v>5389631</v>
      </c>
      <c r="K20" s="3"/>
      <c r="N20" t="s">
        <v>4</v>
      </c>
      <c r="O20" t="s">
        <v>139</v>
      </c>
    </row>
    <row r="21" spans="2:15" ht="16.2" thickBot="1" x14ac:dyDescent="0.35"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13</v>
      </c>
      <c r="H21" s="2" t="s">
        <v>14</v>
      </c>
      <c r="I21" s="2">
        <v>5111</v>
      </c>
      <c r="J21" s="2">
        <v>6012216</v>
      </c>
      <c r="K21" s="3"/>
      <c r="N21" t="s">
        <v>78</v>
      </c>
      <c r="O21" t="s">
        <v>144</v>
      </c>
    </row>
    <row r="22" spans="2:15" ht="42" thickBot="1" x14ac:dyDescent="0.35">
      <c r="B22" s="2" t="s">
        <v>15</v>
      </c>
      <c r="C22" s="2" t="s">
        <v>10</v>
      </c>
      <c r="D22" s="2" t="s">
        <v>16</v>
      </c>
      <c r="E22" s="2" t="s">
        <v>17</v>
      </c>
      <c r="F22" s="2" t="s">
        <v>18</v>
      </c>
      <c r="G22" s="2" t="s">
        <v>19</v>
      </c>
      <c r="H22" s="2" t="s">
        <v>14</v>
      </c>
      <c r="I22" s="2">
        <v>5131</v>
      </c>
      <c r="J22" s="2">
        <v>8583003</v>
      </c>
      <c r="K22" s="3"/>
      <c r="N22" t="s">
        <v>81</v>
      </c>
      <c r="O22" t="s">
        <v>147</v>
      </c>
    </row>
    <row r="23" spans="2:15" ht="28.2" thickBot="1" x14ac:dyDescent="0.35">
      <c r="B23" s="2" t="s">
        <v>20</v>
      </c>
      <c r="C23" s="2" t="s">
        <v>10</v>
      </c>
      <c r="D23" s="2" t="s">
        <v>21</v>
      </c>
      <c r="E23" s="2" t="s">
        <v>22</v>
      </c>
      <c r="F23" s="2" t="s">
        <v>23</v>
      </c>
      <c r="G23" s="2" t="s">
        <v>24</v>
      </c>
      <c r="H23" s="2" t="s">
        <v>14</v>
      </c>
      <c r="I23" s="2">
        <v>5151</v>
      </c>
      <c r="J23" s="2">
        <v>3716856</v>
      </c>
      <c r="K23" s="3"/>
      <c r="N23" t="s">
        <v>84</v>
      </c>
      <c r="O23" t="s">
        <v>191</v>
      </c>
    </row>
    <row r="24" spans="2:15" ht="16.2" thickBot="1" x14ac:dyDescent="0.35">
      <c r="B24" s="2" t="s">
        <v>25</v>
      </c>
      <c r="C24" s="2" t="s">
        <v>10</v>
      </c>
      <c r="D24" s="2" t="s">
        <v>21</v>
      </c>
      <c r="E24" s="2" t="s">
        <v>26</v>
      </c>
      <c r="F24" s="2" t="s">
        <v>27</v>
      </c>
      <c r="G24" s="2" t="s">
        <v>28</v>
      </c>
      <c r="H24" s="2" t="s">
        <v>14</v>
      </c>
      <c r="I24" s="2">
        <v>5171</v>
      </c>
      <c r="J24" s="2">
        <v>1789515</v>
      </c>
      <c r="K24" s="3"/>
      <c r="N24" t="s">
        <v>87</v>
      </c>
    </row>
    <row r="25" spans="2:15" ht="28.2" thickBot="1" x14ac:dyDescent="0.35">
      <c r="B25" s="2" t="s">
        <v>29</v>
      </c>
      <c r="C25" s="2" t="s">
        <v>30</v>
      </c>
      <c r="D25" s="2" t="s">
        <v>31</v>
      </c>
      <c r="E25" s="2" t="s">
        <v>26</v>
      </c>
      <c r="F25" s="2" t="s">
        <v>32</v>
      </c>
      <c r="G25" s="2" t="s">
        <v>33</v>
      </c>
      <c r="H25" s="2" t="s">
        <v>14</v>
      </c>
      <c r="I25" s="2">
        <v>5191</v>
      </c>
      <c r="J25" s="2">
        <v>3469540</v>
      </c>
      <c r="K25" s="3"/>
      <c r="N25" t="s">
        <v>90</v>
      </c>
    </row>
    <row r="26" spans="2:15" ht="28.2" thickBot="1" x14ac:dyDescent="0.35">
      <c r="B26" s="2" t="s">
        <v>34</v>
      </c>
      <c r="C26" s="2" t="s">
        <v>30</v>
      </c>
      <c r="D26" s="2" t="s">
        <v>31</v>
      </c>
      <c r="E26" s="2" t="s">
        <v>26</v>
      </c>
      <c r="F26" s="2" t="s">
        <v>35</v>
      </c>
      <c r="G26" s="2" t="s">
        <v>36</v>
      </c>
      <c r="H26" s="2" t="s">
        <v>14</v>
      </c>
      <c r="I26" s="2">
        <v>5210</v>
      </c>
      <c r="J26" s="2">
        <v>1809280</v>
      </c>
      <c r="K26" s="3"/>
      <c r="N26" t="s">
        <v>92</v>
      </c>
    </row>
    <row r="27" spans="2:15" ht="28.2" thickBot="1" x14ac:dyDescent="0.35">
      <c r="B27" s="2" t="s">
        <v>37</v>
      </c>
      <c r="C27" s="2" t="s">
        <v>30</v>
      </c>
      <c r="D27" s="2" t="s">
        <v>416</v>
      </c>
      <c r="E27" s="2" t="s">
        <v>17</v>
      </c>
      <c r="F27" s="2" t="s">
        <v>38</v>
      </c>
      <c r="G27" s="2" t="s">
        <v>39</v>
      </c>
      <c r="H27" s="2" t="s">
        <v>14</v>
      </c>
      <c r="I27" s="2">
        <v>5230</v>
      </c>
      <c r="J27" s="2">
        <v>2869344</v>
      </c>
      <c r="K27" s="3"/>
      <c r="N27" t="s">
        <v>95</v>
      </c>
    </row>
    <row r="28" spans="2:15" ht="28.2" thickBot="1" x14ac:dyDescent="0.35">
      <c r="B28" s="2" t="s">
        <v>40</v>
      </c>
      <c r="C28" s="2" t="s">
        <v>30</v>
      </c>
      <c r="D28" s="2" t="s">
        <v>31</v>
      </c>
      <c r="E28" s="2" t="s">
        <v>17</v>
      </c>
      <c r="F28" s="2" t="s">
        <v>41</v>
      </c>
      <c r="G28" s="2" t="s">
        <v>19</v>
      </c>
      <c r="H28" s="2" t="s">
        <v>14</v>
      </c>
      <c r="I28" s="2">
        <v>5250</v>
      </c>
      <c r="J28" s="2">
        <v>1071696</v>
      </c>
      <c r="K28" s="3"/>
      <c r="N28" t="s">
        <v>97</v>
      </c>
    </row>
    <row r="29" spans="2:15" ht="28.2" thickBot="1" x14ac:dyDescent="0.35">
      <c r="B29" s="2" t="s">
        <v>42</v>
      </c>
      <c r="C29" s="2" t="s">
        <v>10</v>
      </c>
      <c r="D29" s="2" t="s">
        <v>11</v>
      </c>
      <c r="E29" s="2" t="s">
        <v>12</v>
      </c>
      <c r="F29" s="2" t="s">
        <v>43</v>
      </c>
      <c r="G29" s="2" t="s">
        <v>44</v>
      </c>
      <c r="H29" s="2" t="s">
        <v>45</v>
      </c>
      <c r="I29" s="2">
        <v>5270</v>
      </c>
      <c r="J29" s="2">
        <v>2180250</v>
      </c>
      <c r="K29" s="3"/>
      <c r="N29" t="s">
        <v>113</v>
      </c>
    </row>
    <row r="30" spans="2:15" ht="28.2" thickBot="1" x14ac:dyDescent="0.35">
      <c r="B30" s="2" t="s">
        <v>46</v>
      </c>
      <c r="C30" s="2" t="s">
        <v>10</v>
      </c>
      <c r="D30" s="2" t="s">
        <v>11</v>
      </c>
      <c r="E30" s="2" t="s">
        <v>17</v>
      </c>
      <c r="F30" s="2" t="s">
        <v>47</v>
      </c>
      <c r="G30" s="2" t="s">
        <v>39</v>
      </c>
      <c r="H30" s="2" t="s">
        <v>45</v>
      </c>
      <c r="I30" s="2">
        <v>5290</v>
      </c>
      <c r="J30" s="2">
        <v>1638288</v>
      </c>
      <c r="K30" s="3"/>
      <c r="N30" t="s">
        <v>116</v>
      </c>
    </row>
    <row r="31" spans="2:15" ht="28.2" thickBot="1" x14ac:dyDescent="0.35">
      <c r="B31" s="2" t="s">
        <v>48</v>
      </c>
      <c r="C31" s="2" t="s">
        <v>10</v>
      </c>
      <c r="D31" s="2" t="s">
        <v>11</v>
      </c>
      <c r="E31" s="2" t="s">
        <v>75</v>
      </c>
      <c r="F31" s="2" t="s">
        <v>49</v>
      </c>
      <c r="G31" s="2" t="s">
        <v>50</v>
      </c>
      <c r="H31" s="2" t="s">
        <v>45</v>
      </c>
      <c r="I31" s="2">
        <v>5310</v>
      </c>
      <c r="J31" s="2">
        <v>1425416</v>
      </c>
      <c r="K31" s="3"/>
      <c r="N31" t="s">
        <v>118</v>
      </c>
    </row>
    <row r="32" spans="2:15" ht="28.2" thickBot="1" x14ac:dyDescent="0.35">
      <c r="B32" s="2" t="s">
        <v>51</v>
      </c>
      <c r="C32" s="2" t="s">
        <v>10</v>
      </c>
      <c r="D32" s="2" t="s">
        <v>11</v>
      </c>
      <c r="E32" s="2" t="s">
        <v>12</v>
      </c>
      <c r="F32" s="2" t="s">
        <v>52</v>
      </c>
      <c r="G32" s="2" t="s">
        <v>50</v>
      </c>
      <c r="H32" s="2" t="s">
        <v>45</v>
      </c>
      <c r="I32" s="2">
        <v>5330</v>
      </c>
      <c r="J32" s="2">
        <v>1815030</v>
      </c>
      <c r="K32" s="3"/>
      <c r="N32" t="s">
        <v>120</v>
      </c>
    </row>
    <row r="33" spans="2:14" ht="28.2" thickBot="1" x14ac:dyDescent="0.35">
      <c r="B33" s="2" t="s">
        <v>53</v>
      </c>
      <c r="C33" s="2" t="s">
        <v>10</v>
      </c>
      <c r="D33" s="2" t="s">
        <v>54</v>
      </c>
      <c r="E33" s="2" t="s">
        <v>17</v>
      </c>
      <c r="F33" s="2" t="s">
        <v>55</v>
      </c>
      <c r="G33" s="2" t="s">
        <v>19</v>
      </c>
      <c r="H33" s="2" t="s">
        <v>45</v>
      </c>
      <c r="I33" s="2">
        <v>5350</v>
      </c>
      <c r="J33" s="2">
        <v>6327892</v>
      </c>
      <c r="K33" s="3"/>
      <c r="N33" t="s">
        <v>123</v>
      </c>
    </row>
    <row r="34" spans="2:14" ht="28.2" thickBot="1" x14ac:dyDescent="0.35">
      <c r="B34" s="2" t="s">
        <v>56</v>
      </c>
      <c r="C34" s="2" t="s">
        <v>10</v>
      </c>
      <c r="D34" s="2" t="s">
        <v>11</v>
      </c>
      <c r="E34" s="2" t="s">
        <v>57</v>
      </c>
      <c r="F34" s="2" t="s">
        <v>58</v>
      </c>
      <c r="G34" s="2" t="s">
        <v>59</v>
      </c>
      <c r="H34" s="2" t="s">
        <v>45</v>
      </c>
      <c r="I34" s="2">
        <v>5370</v>
      </c>
      <c r="J34" s="2">
        <v>6102567</v>
      </c>
      <c r="K34" s="3"/>
      <c r="N34" t="s">
        <v>132</v>
      </c>
    </row>
    <row r="35" spans="2:14" ht="28.2" thickBot="1" x14ac:dyDescent="0.35">
      <c r="B35" s="2" t="s">
        <v>60</v>
      </c>
      <c r="C35" s="2" t="s">
        <v>30</v>
      </c>
      <c r="D35" s="2" t="s">
        <v>61</v>
      </c>
      <c r="E35" s="2" t="s">
        <v>17</v>
      </c>
      <c r="F35" s="2" t="s">
        <v>62</v>
      </c>
      <c r="G35" s="2" t="s">
        <v>39</v>
      </c>
      <c r="H35" s="2" t="s">
        <v>14</v>
      </c>
      <c r="I35" s="2">
        <v>5390</v>
      </c>
      <c r="J35" s="2">
        <v>2619594</v>
      </c>
      <c r="K35" s="3"/>
      <c r="N35" t="s">
        <v>134</v>
      </c>
    </row>
    <row r="36" spans="2:14" ht="28.2" thickBot="1" x14ac:dyDescent="0.35">
      <c r="B36" s="2" t="s">
        <v>63</v>
      </c>
      <c r="C36" s="2" t="s">
        <v>30</v>
      </c>
      <c r="D36" s="2" t="s">
        <v>61</v>
      </c>
      <c r="E36" s="2" t="s">
        <v>12</v>
      </c>
      <c r="F36" s="2" t="s">
        <v>64</v>
      </c>
      <c r="G36" s="2" t="s">
        <v>50</v>
      </c>
      <c r="H36" s="2" t="s">
        <v>14</v>
      </c>
      <c r="I36" s="2">
        <v>5410</v>
      </c>
      <c r="J36" s="2">
        <v>3735570</v>
      </c>
      <c r="K36" s="3"/>
      <c r="N36" t="s">
        <v>136</v>
      </c>
    </row>
    <row r="37" spans="2:14" ht="28.2" thickBot="1" x14ac:dyDescent="0.35">
      <c r="B37" s="2" t="s">
        <v>65</v>
      </c>
      <c r="C37" s="2" t="s">
        <v>10</v>
      </c>
      <c r="D37" s="2" t="s">
        <v>66</v>
      </c>
      <c r="E37" s="2" t="s">
        <v>12</v>
      </c>
      <c r="F37" s="2" t="s">
        <v>67</v>
      </c>
      <c r="G37" s="2" t="s">
        <v>50</v>
      </c>
      <c r="H37" s="2" t="s">
        <v>14</v>
      </c>
      <c r="I37" s="2">
        <v>5430</v>
      </c>
      <c r="J37" s="2">
        <v>4492524</v>
      </c>
      <c r="K37" s="3"/>
      <c r="N37" t="s">
        <v>138</v>
      </c>
    </row>
    <row r="38" spans="2:14" ht="16.2" thickBot="1" x14ac:dyDescent="0.35">
      <c r="B38" s="2" t="s">
        <v>9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13</v>
      </c>
      <c r="H38" s="2" t="s">
        <v>14</v>
      </c>
      <c r="I38" s="2">
        <v>5111</v>
      </c>
      <c r="J38" s="2">
        <v>8831778</v>
      </c>
      <c r="K38" s="3"/>
      <c r="N38" t="s">
        <v>141</v>
      </c>
    </row>
    <row r="39" spans="2:14" ht="42" thickBot="1" x14ac:dyDescent="0.35">
      <c r="B39" s="2" t="s">
        <v>15</v>
      </c>
      <c r="C39" s="2" t="s">
        <v>10</v>
      </c>
      <c r="D39" s="2" t="s">
        <v>16</v>
      </c>
      <c r="E39" s="2" t="s">
        <v>17</v>
      </c>
      <c r="F39" s="2" t="s">
        <v>18</v>
      </c>
      <c r="G39" s="2" t="s">
        <v>19</v>
      </c>
      <c r="H39" s="2" t="s">
        <v>14</v>
      </c>
      <c r="I39" s="2">
        <v>5131</v>
      </c>
      <c r="J39" s="2">
        <v>3205192</v>
      </c>
      <c r="K39" s="3"/>
      <c r="N39" t="s">
        <v>143</v>
      </c>
    </row>
    <row r="40" spans="2:14" ht="28.2" thickBot="1" x14ac:dyDescent="0.35">
      <c r="B40" s="2" t="s">
        <v>20</v>
      </c>
      <c r="C40" s="2" t="s">
        <v>10</v>
      </c>
      <c r="D40" s="2" t="s">
        <v>21</v>
      </c>
      <c r="E40" s="2" t="s">
        <v>22</v>
      </c>
      <c r="F40" s="2" t="s">
        <v>23</v>
      </c>
      <c r="G40" s="2" t="s">
        <v>24</v>
      </c>
      <c r="H40" s="2" t="s">
        <v>14</v>
      </c>
      <c r="I40" s="2">
        <v>5151</v>
      </c>
      <c r="J40" s="2">
        <v>3619671</v>
      </c>
      <c r="K40" s="3"/>
      <c r="N40" t="s">
        <v>146</v>
      </c>
    </row>
    <row r="41" spans="2:14" ht="16.2" thickBot="1" x14ac:dyDescent="0.35">
      <c r="B41" s="2" t="s">
        <v>25</v>
      </c>
      <c r="C41" s="2" t="s">
        <v>10</v>
      </c>
      <c r="D41" s="2" t="s">
        <v>21</v>
      </c>
      <c r="E41" s="2" t="s">
        <v>26</v>
      </c>
      <c r="F41" s="2" t="s">
        <v>27</v>
      </c>
      <c r="G41" s="2" t="s">
        <v>28</v>
      </c>
      <c r="H41" s="2" t="s">
        <v>14</v>
      </c>
      <c r="I41" s="2">
        <v>5171</v>
      </c>
      <c r="J41" s="2">
        <v>7726806</v>
      </c>
      <c r="K41" s="3"/>
    </row>
    <row r="42" spans="2:14" ht="28.2" thickBot="1" x14ac:dyDescent="0.35">
      <c r="B42" s="2" t="s">
        <v>29</v>
      </c>
      <c r="C42" s="2" t="s">
        <v>30</v>
      </c>
      <c r="D42" s="2" t="s">
        <v>31</v>
      </c>
      <c r="E42" s="2" t="s">
        <v>26</v>
      </c>
      <c r="F42" s="2" t="s">
        <v>32</v>
      </c>
      <c r="G42" s="2" t="s">
        <v>33</v>
      </c>
      <c r="H42" s="2" t="s">
        <v>14</v>
      </c>
      <c r="I42" s="2">
        <v>5191</v>
      </c>
      <c r="J42" s="2">
        <v>4226591</v>
      </c>
      <c r="K42" s="3"/>
    </row>
    <row r="43" spans="2:14" ht="28.2" thickBot="1" x14ac:dyDescent="0.35">
      <c r="B43" s="2" t="s">
        <v>34</v>
      </c>
      <c r="C43" s="2" t="s">
        <v>30</v>
      </c>
      <c r="D43" s="2" t="s">
        <v>31</v>
      </c>
      <c r="E43" s="2" t="s">
        <v>26</v>
      </c>
      <c r="F43" s="2" t="s">
        <v>35</v>
      </c>
      <c r="G43" s="2" t="s">
        <v>36</v>
      </c>
      <c r="H43" s="2" t="s">
        <v>14</v>
      </c>
      <c r="I43" s="2">
        <v>5210</v>
      </c>
      <c r="J43" s="2">
        <v>5273215</v>
      </c>
      <c r="K43" s="3"/>
    </row>
    <row r="44" spans="2:14" ht="28.2" thickBot="1" x14ac:dyDescent="0.35">
      <c r="B44" s="2" t="s">
        <v>37</v>
      </c>
      <c r="C44" s="2" t="s">
        <v>30</v>
      </c>
      <c r="D44" s="2" t="s">
        <v>74</v>
      </c>
      <c r="E44" s="2" t="s">
        <v>17</v>
      </c>
      <c r="F44" s="2" t="s">
        <v>38</v>
      </c>
      <c r="G44" s="2" t="s">
        <v>39</v>
      </c>
      <c r="H44" s="2" t="s">
        <v>14</v>
      </c>
      <c r="I44" s="2">
        <v>5230</v>
      </c>
      <c r="J44" s="2">
        <v>4131849</v>
      </c>
      <c r="K44" s="3"/>
    </row>
    <row r="45" spans="2:14" ht="28.2" thickBot="1" x14ac:dyDescent="0.35">
      <c r="B45" s="2" t="s">
        <v>40</v>
      </c>
      <c r="C45" s="2" t="s">
        <v>30</v>
      </c>
      <c r="D45" s="2" t="s">
        <v>31</v>
      </c>
      <c r="E45" s="2" t="s">
        <v>17</v>
      </c>
      <c r="F45" s="2" t="s">
        <v>41</v>
      </c>
      <c r="G45" s="2" t="s">
        <v>19</v>
      </c>
      <c r="H45" s="2" t="s">
        <v>14</v>
      </c>
      <c r="I45" s="2">
        <v>5250</v>
      </c>
      <c r="J45" s="2">
        <v>1992852</v>
      </c>
      <c r="K45" s="3"/>
    </row>
    <row r="46" spans="2:14" ht="28.2" thickBot="1" x14ac:dyDescent="0.35">
      <c r="B46" s="2" t="s">
        <v>42</v>
      </c>
      <c r="C46" s="2" t="s">
        <v>10</v>
      </c>
      <c r="D46" s="2" t="s">
        <v>11</v>
      </c>
      <c r="E46" s="2" t="s">
        <v>12</v>
      </c>
      <c r="F46" s="2" t="s">
        <v>43</v>
      </c>
      <c r="G46" s="2" t="s">
        <v>44</v>
      </c>
      <c r="H46" s="2" t="s">
        <v>45</v>
      </c>
      <c r="I46" s="2">
        <v>5270</v>
      </c>
      <c r="J46" s="2">
        <v>5819745</v>
      </c>
      <c r="K46" s="3"/>
    </row>
    <row r="47" spans="2:14" ht="28.2" thickBot="1" x14ac:dyDescent="0.35">
      <c r="B47" s="2" t="s">
        <v>46</v>
      </c>
      <c r="C47" s="2" t="s">
        <v>10</v>
      </c>
      <c r="D47" s="2" t="s">
        <v>11</v>
      </c>
      <c r="E47" s="2" t="s">
        <v>17</v>
      </c>
      <c r="F47" s="2" t="s">
        <v>47</v>
      </c>
      <c r="G47" s="2" t="s">
        <v>39</v>
      </c>
      <c r="H47" s="2" t="s">
        <v>45</v>
      </c>
      <c r="I47" s="2">
        <v>5290</v>
      </c>
      <c r="J47" s="2">
        <v>6263937</v>
      </c>
      <c r="K47" s="3"/>
    </row>
    <row r="48" spans="2:14" ht="28.2" thickBot="1" x14ac:dyDescent="0.35">
      <c r="B48" s="2" t="s">
        <v>48</v>
      </c>
      <c r="C48" s="2" t="s">
        <v>10</v>
      </c>
      <c r="D48" s="2" t="s">
        <v>11</v>
      </c>
      <c r="E48" s="2" t="s">
        <v>75</v>
      </c>
      <c r="F48" s="2" t="s">
        <v>49</v>
      </c>
      <c r="G48" s="2" t="s">
        <v>50</v>
      </c>
      <c r="H48" s="2" t="s">
        <v>45</v>
      </c>
      <c r="I48" s="2">
        <v>5310</v>
      </c>
      <c r="J48" s="2">
        <v>1189524</v>
      </c>
      <c r="K48" s="3"/>
    </row>
    <row r="49" spans="2:11" ht="28.2" thickBot="1" x14ac:dyDescent="0.35">
      <c r="B49" s="2" t="s">
        <v>51</v>
      </c>
      <c r="C49" s="2" t="s">
        <v>10</v>
      </c>
      <c r="D49" s="2" t="s">
        <v>11</v>
      </c>
      <c r="E49" s="2" t="s">
        <v>12</v>
      </c>
      <c r="F49" s="2" t="s">
        <v>52</v>
      </c>
      <c r="G49" s="2" t="s">
        <v>50</v>
      </c>
      <c r="H49" s="2" t="s">
        <v>45</v>
      </c>
      <c r="I49" s="2">
        <v>5330</v>
      </c>
      <c r="J49" s="2">
        <v>5926352</v>
      </c>
      <c r="K49" s="3"/>
    </row>
    <row r="50" spans="2:11" ht="28.2" thickBot="1" x14ac:dyDescent="0.35">
      <c r="B50" s="2" t="s">
        <v>53</v>
      </c>
      <c r="C50" s="2" t="s">
        <v>10</v>
      </c>
      <c r="D50" s="2" t="s">
        <v>54</v>
      </c>
      <c r="E50" s="2" t="s">
        <v>17</v>
      </c>
      <c r="F50" s="2" t="s">
        <v>55</v>
      </c>
      <c r="G50" s="2" t="s">
        <v>19</v>
      </c>
      <c r="H50" s="2" t="s">
        <v>45</v>
      </c>
      <c r="I50" s="2">
        <v>5350</v>
      </c>
      <c r="J50" s="2">
        <v>4936932</v>
      </c>
      <c r="K50" s="3"/>
    </row>
    <row r="51" spans="2:11" ht="28.2" thickBot="1" x14ac:dyDescent="0.35">
      <c r="B51" s="2" t="s">
        <v>56</v>
      </c>
      <c r="C51" s="2" t="s">
        <v>10</v>
      </c>
      <c r="D51" s="2" t="s">
        <v>11</v>
      </c>
      <c r="E51" s="2" t="s">
        <v>57</v>
      </c>
      <c r="F51" s="2" t="s">
        <v>58</v>
      </c>
      <c r="G51" s="2" t="s">
        <v>59</v>
      </c>
      <c r="H51" s="2" t="s">
        <v>45</v>
      </c>
      <c r="I51" s="2">
        <v>5370</v>
      </c>
      <c r="J51" s="2">
        <v>8412228</v>
      </c>
      <c r="K51" s="3"/>
    </row>
    <row r="52" spans="2:11" ht="28.2" thickBot="1" x14ac:dyDescent="0.35">
      <c r="B52" s="2" t="s">
        <v>60</v>
      </c>
      <c r="C52" s="2" t="s">
        <v>30</v>
      </c>
      <c r="D52" s="2" t="s">
        <v>61</v>
      </c>
      <c r="E52" s="2" t="s">
        <v>17</v>
      </c>
      <c r="F52" s="2" t="s">
        <v>62</v>
      </c>
      <c r="G52" s="2" t="s">
        <v>39</v>
      </c>
      <c r="H52" s="2" t="s">
        <v>14</v>
      </c>
      <c r="I52" s="2">
        <v>5390</v>
      </c>
      <c r="J52" s="2">
        <v>5349356</v>
      </c>
      <c r="K52" s="3"/>
    </row>
    <row r="53" spans="2:11" ht="28.2" thickBot="1" x14ac:dyDescent="0.35">
      <c r="B53" s="2" t="s">
        <v>63</v>
      </c>
      <c r="C53" s="2" t="s">
        <v>30</v>
      </c>
      <c r="D53" s="2" t="s">
        <v>61</v>
      </c>
      <c r="E53" s="2" t="s">
        <v>12</v>
      </c>
      <c r="F53" s="2" t="s">
        <v>64</v>
      </c>
      <c r="G53" s="2" t="s">
        <v>50</v>
      </c>
      <c r="H53" s="2" t="s">
        <v>14</v>
      </c>
      <c r="I53" s="2">
        <v>5410</v>
      </c>
      <c r="J53" s="2">
        <v>3422520</v>
      </c>
      <c r="K53" s="3"/>
    </row>
    <row r="54" spans="2:11" ht="28.2" thickBot="1" x14ac:dyDescent="0.35">
      <c r="B54" s="2" t="s">
        <v>65</v>
      </c>
      <c r="C54" s="2" t="s">
        <v>10</v>
      </c>
      <c r="D54" s="2" t="s">
        <v>66</v>
      </c>
      <c r="E54" s="2" t="s">
        <v>12</v>
      </c>
      <c r="F54" s="2" t="s">
        <v>67</v>
      </c>
      <c r="G54" s="2" t="s">
        <v>50</v>
      </c>
      <c r="H54" s="2" t="s">
        <v>14</v>
      </c>
      <c r="I54" s="2">
        <v>5430</v>
      </c>
      <c r="J54" s="2">
        <v>6858152</v>
      </c>
      <c r="K54" s="3"/>
    </row>
    <row r="55" spans="2:11" ht="28.2" thickBot="1" x14ac:dyDescent="0.35">
      <c r="B55" s="2" t="s">
        <v>0</v>
      </c>
      <c r="C55" s="2" t="s">
        <v>1</v>
      </c>
      <c r="D55" s="2" t="s">
        <v>2</v>
      </c>
      <c r="E55" s="2" t="s">
        <v>3</v>
      </c>
      <c r="F55" s="2" t="s">
        <v>4</v>
      </c>
      <c r="G55" s="2" t="s">
        <v>5</v>
      </c>
      <c r="H55" s="2" t="s">
        <v>73</v>
      </c>
      <c r="I55" s="2">
        <v>0</v>
      </c>
      <c r="J55" s="2">
        <v>8137188</v>
      </c>
      <c r="K55" s="3"/>
    </row>
    <row r="56" spans="2:11" ht="16.2" thickBot="1" x14ac:dyDescent="0.35">
      <c r="B56" s="2" t="s">
        <v>9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13</v>
      </c>
      <c r="H56" s="2" t="s">
        <v>14</v>
      </c>
      <c r="I56" s="2">
        <v>5111</v>
      </c>
      <c r="J56" s="2">
        <v>3544944</v>
      </c>
      <c r="K56" s="3"/>
    </row>
    <row r="57" spans="2:11" ht="42" thickBot="1" x14ac:dyDescent="0.35">
      <c r="B57" s="2" t="s">
        <v>15</v>
      </c>
      <c r="C57" s="2" t="s">
        <v>10</v>
      </c>
      <c r="D57" s="2" t="s">
        <v>16</v>
      </c>
      <c r="E57" s="2" t="s">
        <v>17</v>
      </c>
      <c r="F57" s="2" t="s">
        <v>18</v>
      </c>
      <c r="G57" s="2" t="s">
        <v>19</v>
      </c>
      <c r="H57" s="2" t="s">
        <v>14</v>
      </c>
      <c r="I57" s="2">
        <v>5131</v>
      </c>
      <c r="J57" s="2">
        <v>9233430</v>
      </c>
      <c r="K57" s="3"/>
    </row>
    <row r="58" spans="2:11" ht="28.2" thickBot="1" x14ac:dyDescent="0.35">
      <c r="B58" s="2" t="s">
        <v>20</v>
      </c>
      <c r="C58" s="2" t="s">
        <v>10</v>
      </c>
      <c r="D58" s="2" t="s">
        <v>21</v>
      </c>
      <c r="E58" s="2" t="s">
        <v>22</v>
      </c>
      <c r="F58" s="2" t="s">
        <v>23</v>
      </c>
      <c r="G58" s="2" t="s">
        <v>24</v>
      </c>
      <c r="H58" s="2" t="s">
        <v>14</v>
      </c>
      <c r="I58" s="2">
        <v>5151</v>
      </c>
      <c r="J58" s="2">
        <v>7545720</v>
      </c>
      <c r="K58" s="3"/>
    </row>
    <row r="59" spans="2:11" ht="16.2" thickBot="1" x14ac:dyDescent="0.35">
      <c r="B59" s="2" t="s">
        <v>25</v>
      </c>
      <c r="C59" s="2" t="s">
        <v>10</v>
      </c>
      <c r="D59" s="2" t="s">
        <v>21</v>
      </c>
      <c r="E59" s="2" t="s">
        <v>26</v>
      </c>
      <c r="F59" s="2" t="s">
        <v>27</v>
      </c>
      <c r="G59" s="2" t="s">
        <v>28</v>
      </c>
      <c r="H59" s="2" t="s">
        <v>14</v>
      </c>
      <c r="I59" s="2">
        <v>5171</v>
      </c>
      <c r="J59" s="2">
        <v>4431556</v>
      </c>
      <c r="K59" s="3"/>
    </row>
    <row r="60" spans="2:11" ht="28.2" thickBot="1" x14ac:dyDescent="0.35">
      <c r="B60" s="2" t="s">
        <v>29</v>
      </c>
      <c r="C60" s="2" t="s">
        <v>30</v>
      </c>
      <c r="D60" s="2" t="s">
        <v>31</v>
      </c>
      <c r="E60" s="2" t="s">
        <v>26</v>
      </c>
      <c r="F60" s="2" t="s">
        <v>32</v>
      </c>
      <c r="G60" s="2" t="s">
        <v>33</v>
      </c>
      <c r="H60" s="2" t="s">
        <v>14</v>
      </c>
      <c r="I60" s="2">
        <v>5191</v>
      </c>
      <c r="J60" s="2">
        <v>6126372</v>
      </c>
      <c r="K60" s="3"/>
    </row>
    <row r="61" spans="2:11" ht="28.2" thickBot="1" x14ac:dyDescent="0.35">
      <c r="B61" s="2" t="s">
        <v>34</v>
      </c>
      <c r="C61" s="2" t="s">
        <v>30</v>
      </c>
      <c r="D61" s="2" t="s">
        <v>31</v>
      </c>
      <c r="E61" s="2" t="s">
        <v>26</v>
      </c>
      <c r="F61" s="2" t="s">
        <v>35</v>
      </c>
      <c r="G61" s="2" t="s">
        <v>36</v>
      </c>
      <c r="H61" s="2" t="s">
        <v>14</v>
      </c>
      <c r="I61" s="2">
        <v>5210</v>
      </c>
      <c r="J61" s="2">
        <v>5987340</v>
      </c>
      <c r="K61" s="3"/>
    </row>
    <row r="62" spans="2:11" ht="28.2" thickBot="1" x14ac:dyDescent="0.35">
      <c r="B62" s="2" t="s">
        <v>37</v>
      </c>
      <c r="C62" s="2" t="s">
        <v>30</v>
      </c>
      <c r="D62" s="2" t="s">
        <v>74</v>
      </c>
      <c r="E62" s="2" t="s">
        <v>17</v>
      </c>
      <c r="F62" s="2" t="s">
        <v>38</v>
      </c>
      <c r="G62" s="2" t="s">
        <v>39</v>
      </c>
      <c r="H62" s="2" t="s">
        <v>14</v>
      </c>
      <c r="I62" s="2">
        <v>5230</v>
      </c>
      <c r="J62" s="2">
        <v>3440310</v>
      </c>
      <c r="K62" s="3"/>
    </row>
    <row r="63" spans="2:11" ht="28.2" thickBot="1" x14ac:dyDescent="0.35">
      <c r="B63" s="2" t="s">
        <v>40</v>
      </c>
      <c r="C63" s="2" t="s">
        <v>30</v>
      </c>
      <c r="D63" s="2" t="s">
        <v>31</v>
      </c>
      <c r="E63" s="2" t="s">
        <v>17</v>
      </c>
      <c r="F63" s="2" t="s">
        <v>41</v>
      </c>
      <c r="G63" s="2" t="s">
        <v>19</v>
      </c>
      <c r="H63" s="2" t="s">
        <v>14</v>
      </c>
      <c r="I63" s="2">
        <v>5250</v>
      </c>
      <c r="J63" s="2">
        <v>3300091</v>
      </c>
      <c r="K63" s="3"/>
    </row>
    <row r="64" spans="2:11" ht="28.2" thickBot="1" x14ac:dyDescent="0.35">
      <c r="B64" s="2" t="s">
        <v>42</v>
      </c>
      <c r="C64" s="2" t="s">
        <v>10</v>
      </c>
      <c r="D64" s="2" t="s">
        <v>11</v>
      </c>
      <c r="E64" s="2" t="s">
        <v>12</v>
      </c>
      <c r="F64" s="2" t="s">
        <v>43</v>
      </c>
      <c r="G64" s="2" t="s">
        <v>44</v>
      </c>
      <c r="H64" s="2" t="s">
        <v>45</v>
      </c>
      <c r="I64" s="2">
        <v>5270</v>
      </c>
      <c r="J64" s="2">
        <v>5136975</v>
      </c>
      <c r="K64" s="3"/>
    </row>
    <row r="65" spans="2:11" ht="28.2" thickBot="1" x14ac:dyDescent="0.35">
      <c r="B65" s="2" t="s">
        <v>46</v>
      </c>
      <c r="C65" s="2" t="s">
        <v>10</v>
      </c>
      <c r="D65" s="2" t="s">
        <v>11</v>
      </c>
      <c r="E65" s="2" t="s">
        <v>17</v>
      </c>
      <c r="F65" s="2" t="s">
        <v>47</v>
      </c>
      <c r="G65" s="2" t="s">
        <v>39</v>
      </c>
      <c r="H65" s="2" t="s">
        <v>45</v>
      </c>
      <c r="I65" s="2">
        <v>5290</v>
      </c>
      <c r="J65" s="2">
        <v>2897782</v>
      </c>
      <c r="K65" s="3"/>
    </row>
    <row r="66" spans="2:11" ht="28.2" thickBot="1" x14ac:dyDescent="0.35">
      <c r="B66" s="2" t="s">
        <v>48</v>
      </c>
      <c r="C66" s="2" t="s">
        <v>10</v>
      </c>
      <c r="D66" s="2" t="s">
        <v>11</v>
      </c>
      <c r="E66" s="2" t="s">
        <v>75</v>
      </c>
      <c r="F66" s="2" t="s">
        <v>49</v>
      </c>
      <c r="G66" s="2" t="s">
        <v>50</v>
      </c>
      <c r="H66" s="2" t="s">
        <v>45</v>
      </c>
      <c r="I66" s="2">
        <v>5310</v>
      </c>
      <c r="J66" s="2">
        <v>1852065</v>
      </c>
      <c r="K66" s="3"/>
    </row>
    <row r="67" spans="2:11" ht="28.2" thickBot="1" x14ac:dyDescent="0.35">
      <c r="B67" s="2" t="s">
        <v>51</v>
      </c>
      <c r="C67" s="2" t="s">
        <v>10</v>
      </c>
      <c r="D67" s="2" t="s">
        <v>11</v>
      </c>
      <c r="E67" s="2" t="s">
        <v>12</v>
      </c>
      <c r="F67" s="2" t="s">
        <v>52</v>
      </c>
      <c r="G67" s="2" t="s">
        <v>50</v>
      </c>
      <c r="H67" s="2" t="s">
        <v>45</v>
      </c>
      <c r="I67" s="2">
        <v>5330</v>
      </c>
      <c r="J67" s="2">
        <v>7541264</v>
      </c>
      <c r="K67" s="3"/>
    </row>
    <row r="68" spans="2:11" ht="28.2" thickBot="1" x14ac:dyDescent="0.35">
      <c r="B68" s="2" t="s">
        <v>53</v>
      </c>
      <c r="C68" s="2" t="s">
        <v>10</v>
      </c>
      <c r="D68" s="2" t="s">
        <v>54</v>
      </c>
      <c r="E68" s="2" t="s">
        <v>17</v>
      </c>
      <c r="F68" s="2" t="s">
        <v>55</v>
      </c>
      <c r="G68" s="2" t="s">
        <v>19</v>
      </c>
      <c r="H68" s="2" t="s">
        <v>45</v>
      </c>
      <c r="I68" s="2">
        <v>5350</v>
      </c>
      <c r="J68" s="2">
        <v>3584988</v>
      </c>
      <c r="K68" s="3"/>
    </row>
    <row r="69" spans="2:11" ht="28.2" thickBot="1" x14ac:dyDescent="0.35">
      <c r="B69" s="2" t="s">
        <v>56</v>
      </c>
      <c r="C69" s="2" t="s">
        <v>10</v>
      </c>
      <c r="D69" s="2" t="s">
        <v>11</v>
      </c>
      <c r="E69" s="2" t="s">
        <v>57</v>
      </c>
      <c r="F69" s="2" t="s">
        <v>58</v>
      </c>
      <c r="G69" s="2" t="s">
        <v>59</v>
      </c>
      <c r="H69" s="2" t="s">
        <v>45</v>
      </c>
      <c r="I69" s="2">
        <v>5370</v>
      </c>
      <c r="J69" s="2">
        <v>3786588</v>
      </c>
      <c r="K69" s="3"/>
    </row>
    <row r="70" spans="2:11" ht="28.2" thickBot="1" x14ac:dyDescent="0.35">
      <c r="B70" s="2" t="s">
        <v>60</v>
      </c>
      <c r="C70" s="2" t="s">
        <v>30</v>
      </c>
      <c r="D70" s="2" t="s">
        <v>61</v>
      </c>
      <c r="E70" s="2" t="s">
        <v>17</v>
      </c>
      <c r="F70" s="2" t="s">
        <v>62</v>
      </c>
      <c r="G70" s="2" t="s">
        <v>39</v>
      </c>
      <c r="H70" s="2" t="s">
        <v>14</v>
      </c>
      <c r="I70" s="2">
        <v>5390</v>
      </c>
      <c r="J70" s="2">
        <v>3102610</v>
      </c>
      <c r="K70" s="3"/>
    </row>
    <row r="71" spans="2:11" ht="28.2" thickBot="1" x14ac:dyDescent="0.35">
      <c r="B71" s="2" t="s">
        <v>63</v>
      </c>
      <c r="C71" s="2" t="s">
        <v>30</v>
      </c>
      <c r="D71" s="2" t="s">
        <v>61</v>
      </c>
      <c r="E71" s="2" t="s">
        <v>12</v>
      </c>
      <c r="F71" s="2" t="s">
        <v>64</v>
      </c>
      <c r="G71" s="2" t="s">
        <v>50</v>
      </c>
      <c r="H71" s="2" t="s">
        <v>14</v>
      </c>
      <c r="I71" s="2">
        <v>5410</v>
      </c>
      <c r="J71" s="2">
        <v>1091128</v>
      </c>
      <c r="K71" s="3"/>
    </row>
    <row r="72" spans="2:11" ht="28.2" thickBot="1" x14ac:dyDescent="0.35">
      <c r="B72" s="2" t="s">
        <v>65</v>
      </c>
      <c r="C72" s="2" t="s">
        <v>10</v>
      </c>
      <c r="D72" s="2" t="s">
        <v>66</v>
      </c>
      <c r="E72" s="2" t="s">
        <v>12</v>
      </c>
      <c r="F72" s="2" t="s">
        <v>67</v>
      </c>
      <c r="G72" s="2" t="s">
        <v>50</v>
      </c>
      <c r="H72" s="2" t="s">
        <v>14</v>
      </c>
      <c r="I72" s="2">
        <v>5430</v>
      </c>
      <c r="J72" s="2">
        <v>3751820</v>
      </c>
      <c r="K72" s="3"/>
    </row>
    <row r="73" spans="2:11" ht="28.2" thickBot="1" x14ac:dyDescent="0.35">
      <c r="B73" s="2" t="s">
        <v>68</v>
      </c>
      <c r="C73" s="2" t="s">
        <v>10</v>
      </c>
      <c r="D73" s="2" t="s">
        <v>66</v>
      </c>
      <c r="E73" s="2" t="s">
        <v>26</v>
      </c>
      <c r="F73" s="2" t="s">
        <v>69</v>
      </c>
      <c r="G73" s="2" t="s">
        <v>28</v>
      </c>
      <c r="H73" s="2" t="s">
        <v>14</v>
      </c>
      <c r="I73" s="2">
        <v>5450</v>
      </c>
      <c r="J73" s="2">
        <v>3882616</v>
      </c>
      <c r="K73" s="3"/>
    </row>
    <row r="74" spans="2:11" ht="28.2" thickBot="1" x14ac:dyDescent="0.35">
      <c r="B74" s="2" t="s">
        <v>70</v>
      </c>
      <c r="C74" s="2" t="s">
        <v>10</v>
      </c>
      <c r="D74" s="2" t="s">
        <v>66</v>
      </c>
      <c r="E74" s="2" t="s">
        <v>26</v>
      </c>
      <c r="F74" s="2" t="s">
        <v>72</v>
      </c>
      <c r="G74" s="2" t="s">
        <v>28</v>
      </c>
      <c r="H74" s="2" t="s">
        <v>14</v>
      </c>
      <c r="I74" s="2">
        <v>5469</v>
      </c>
      <c r="J74" s="2">
        <v>4207275</v>
      </c>
      <c r="K74" s="3"/>
    </row>
    <row r="75" spans="2:11" ht="16.2" thickBot="1" x14ac:dyDescent="0.35">
      <c r="B75" s="2" t="s">
        <v>9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13</v>
      </c>
      <c r="H75" s="2" t="s">
        <v>14</v>
      </c>
      <c r="I75" s="2">
        <v>5450</v>
      </c>
      <c r="J75" s="2">
        <v>3196629</v>
      </c>
      <c r="K75" s="3"/>
    </row>
    <row r="76" spans="2:11" ht="42" thickBot="1" x14ac:dyDescent="0.35">
      <c r="B76" s="2" t="s">
        <v>15</v>
      </c>
      <c r="C76" s="2" t="s">
        <v>10</v>
      </c>
      <c r="D76" s="2" t="s">
        <v>16</v>
      </c>
      <c r="E76" s="2" t="s">
        <v>17</v>
      </c>
      <c r="F76" s="2" t="s">
        <v>18</v>
      </c>
      <c r="G76" s="2" t="s">
        <v>19</v>
      </c>
      <c r="H76" s="2" t="s">
        <v>14</v>
      </c>
      <c r="I76" s="2">
        <v>5469</v>
      </c>
      <c r="J76" s="2">
        <v>2857995</v>
      </c>
      <c r="K76" s="3"/>
    </row>
    <row r="77" spans="2:11" ht="28.2" thickBot="1" x14ac:dyDescent="0.35">
      <c r="B77" s="2" t="s">
        <v>20</v>
      </c>
      <c r="C77" s="2" t="s">
        <v>10</v>
      </c>
      <c r="D77" s="2" t="s">
        <v>21</v>
      </c>
      <c r="E77" s="2" t="s">
        <v>22</v>
      </c>
      <c r="F77" s="2" t="s">
        <v>23</v>
      </c>
      <c r="G77" s="2" t="s">
        <v>24</v>
      </c>
      <c r="H77" s="2" t="s">
        <v>14</v>
      </c>
      <c r="I77" s="2">
        <v>5489</v>
      </c>
      <c r="J77" s="2">
        <v>1134440</v>
      </c>
      <c r="K77" s="3"/>
    </row>
    <row r="78" spans="2:11" ht="16.2" thickBot="1" x14ac:dyDescent="0.35">
      <c r="B78" s="2" t="s">
        <v>25</v>
      </c>
      <c r="C78" s="2" t="s">
        <v>10</v>
      </c>
      <c r="D78" s="2" t="s">
        <v>21</v>
      </c>
      <c r="E78" s="2" t="s">
        <v>26</v>
      </c>
      <c r="F78" s="2" t="s">
        <v>27</v>
      </c>
      <c r="G78" s="2" t="s">
        <v>28</v>
      </c>
      <c r="H78" s="2" t="s">
        <v>14</v>
      </c>
      <c r="I78" s="2">
        <v>5509</v>
      </c>
      <c r="J78" s="2">
        <v>3032953</v>
      </c>
      <c r="K78" s="3"/>
    </row>
    <row r="79" spans="2:11" ht="28.2" thickBot="1" x14ac:dyDescent="0.35">
      <c r="B79" s="2" t="s">
        <v>29</v>
      </c>
      <c r="C79" s="2" t="s">
        <v>30</v>
      </c>
      <c r="D79" s="2" t="s">
        <v>31</v>
      </c>
      <c r="E79" s="2" t="s">
        <v>26</v>
      </c>
      <c r="F79" s="2" t="s">
        <v>32</v>
      </c>
      <c r="G79" s="2" t="s">
        <v>33</v>
      </c>
      <c r="H79" s="2" t="s">
        <v>14</v>
      </c>
      <c r="I79" s="2">
        <v>5529</v>
      </c>
      <c r="J79" s="2">
        <v>2937540</v>
      </c>
      <c r="K79" s="3"/>
    </row>
    <row r="80" spans="2:11" ht="28.2" thickBot="1" x14ac:dyDescent="0.35">
      <c r="B80" s="2" t="s">
        <v>34</v>
      </c>
      <c r="C80" s="2" t="s">
        <v>30</v>
      </c>
      <c r="D80" s="2" t="s">
        <v>31</v>
      </c>
      <c r="E80" s="2" t="s">
        <v>26</v>
      </c>
      <c r="F80" s="2" t="s">
        <v>35</v>
      </c>
      <c r="G80" s="2" t="s">
        <v>36</v>
      </c>
      <c r="H80" s="2" t="s">
        <v>14</v>
      </c>
      <c r="I80" s="2">
        <v>5549</v>
      </c>
      <c r="J80" s="2">
        <v>4839324</v>
      </c>
      <c r="K80" s="3"/>
    </row>
    <row r="81" spans="2:11" ht="28.2" thickBot="1" x14ac:dyDescent="0.35">
      <c r="B81" s="2" t="s">
        <v>37</v>
      </c>
      <c r="C81" s="2" t="s">
        <v>30</v>
      </c>
      <c r="D81" s="2" t="s">
        <v>74</v>
      </c>
      <c r="E81" s="2" t="s">
        <v>17</v>
      </c>
      <c r="F81" s="2" t="s">
        <v>38</v>
      </c>
      <c r="G81" s="2" t="s">
        <v>39</v>
      </c>
      <c r="H81" s="2" t="s">
        <v>14</v>
      </c>
      <c r="I81" s="2">
        <v>5569</v>
      </c>
      <c r="J81" s="2">
        <v>1404660</v>
      </c>
      <c r="K81" s="3"/>
    </row>
    <row r="82" spans="2:11" ht="28.2" thickBot="1" x14ac:dyDescent="0.35">
      <c r="B82" s="2" t="s">
        <v>40</v>
      </c>
      <c r="C82" s="2" t="s">
        <v>30</v>
      </c>
      <c r="D82" s="2" t="s">
        <v>31</v>
      </c>
      <c r="E82" s="2" t="s">
        <v>17</v>
      </c>
      <c r="F82" s="2" t="s">
        <v>41</v>
      </c>
      <c r="G82" s="2" t="s">
        <v>19</v>
      </c>
      <c r="H82" s="2" t="s">
        <v>14</v>
      </c>
      <c r="I82" s="2">
        <v>5589</v>
      </c>
      <c r="J82" s="2">
        <v>5215104</v>
      </c>
      <c r="K82" s="3"/>
    </row>
    <row r="83" spans="2:11" ht="16.2" thickBot="1" x14ac:dyDescent="0.35">
      <c r="B83" s="2" t="s">
        <v>9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13</v>
      </c>
      <c r="H83" s="2" t="s">
        <v>14</v>
      </c>
      <c r="I83" s="2">
        <v>5111</v>
      </c>
      <c r="J83" s="2">
        <v>1377948</v>
      </c>
      <c r="K83" s="3"/>
    </row>
    <row r="84" spans="2:11" ht="42" thickBot="1" x14ac:dyDescent="0.35">
      <c r="B84" s="2" t="s">
        <v>15</v>
      </c>
      <c r="C84" s="2" t="s">
        <v>10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14</v>
      </c>
      <c r="I84" s="2">
        <v>5131</v>
      </c>
      <c r="J84" s="2">
        <v>5832320</v>
      </c>
      <c r="K84" s="3"/>
    </row>
    <row r="85" spans="2:11" ht="28.2" thickBot="1" x14ac:dyDescent="0.35">
      <c r="B85" s="2" t="s">
        <v>20</v>
      </c>
      <c r="C85" s="2" t="s">
        <v>10</v>
      </c>
      <c r="D85" s="2" t="s">
        <v>21</v>
      </c>
      <c r="E85" s="2" t="s">
        <v>22</v>
      </c>
      <c r="F85" s="2" t="s">
        <v>23</v>
      </c>
      <c r="G85" s="2" t="s">
        <v>24</v>
      </c>
      <c r="H85" s="2" t="s">
        <v>14</v>
      </c>
      <c r="I85" s="2">
        <v>5151</v>
      </c>
      <c r="J85" s="2">
        <v>6943300</v>
      </c>
      <c r="K85" s="3"/>
    </row>
    <row r="86" spans="2:11" ht="16.2" thickBot="1" x14ac:dyDescent="0.35">
      <c r="B86" s="2" t="s">
        <v>25</v>
      </c>
      <c r="C86" s="2" t="s">
        <v>10</v>
      </c>
      <c r="D86" s="2" t="s">
        <v>21</v>
      </c>
      <c r="E86" s="2" t="s">
        <v>26</v>
      </c>
      <c r="F86" s="2" t="s">
        <v>27</v>
      </c>
      <c r="G86" s="2" t="s">
        <v>28</v>
      </c>
      <c r="H86" s="2" t="s">
        <v>14</v>
      </c>
      <c r="I86" s="2">
        <v>5171</v>
      </c>
      <c r="J86" s="2">
        <v>6392812</v>
      </c>
      <c r="K86" s="3"/>
    </row>
    <row r="87" spans="2:11" ht="28.2" thickBot="1" x14ac:dyDescent="0.35">
      <c r="B87" s="2" t="s">
        <v>29</v>
      </c>
      <c r="C87" s="2" t="s">
        <v>30</v>
      </c>
      <c r="D87" s="2" t="s">
        <v>31</v>
      </c>
      <c r="E87" s="2" t="s">
        <v>26</v>
      </c>
      <c r="F87" s="2" t="s">
        <v>32</v>
      </c>
      <c r="G87" s="2" t="s">
        <v>33</v>
      </c>
      <c r="H87" s="2" t="s">
        <v>14</v>
      </c>
      <c r="I87" s="2">
        <v>5191</v>
      </c>
      <c r="J87" s="2">
        <v>4524736</v>
      </c>
      <c r="K87" s="3"/>
    </row>
    <row r="88" spans="2:11" ht="28.2" thickBot="1" x14ac:dyDescent="0.35">
      <c r="B88" s="2" t="s">
        <v>34</v>
      </c>
      <c r="C88" s="2" t="s">
        <v>30</v>
      </c>
      <c r="D88" s="2" t="s">
        <v>31</v>
      </c>
      <c r="E88" s="2" t="s">
        <v>26</v>
      </c>
      <c r="F88" s="2" t="s">
        <v>35</v>
      </c>
      <c r="G88" s="2" t="s">
        <v>36</v>
      </c>
      <c r="H88" s="2" t="s">
        <v>14</v>
      </c>
      <c r="I88" s="2">
        <v>5210</v>
      </c>
      <c r="J88" s="2">
        <v>1866900</v>
      </c>
      <c r="K88" s="3"/>
    </row>
    <row r="89" spans="2:11" ht="28.2" thickBot="1" x14ac:dyDescent="0.35">
      <c r="B89" s="2" t="s">
        <v>37</v>
      </c>
      <c r="C89" s="2" t="s">
        <v>30</v>
      </c>
      <c r="D89" s="2" t="s">
        <v>74</v>
      </c>
      <c r="E89" s="2" t="s">
        <v>17</v>
      </c>
      <c r="F89" s="2" t="s">
        <v>38</v>
      </c>
      <c r="G89" s="2" t="s">
        <v>39</v>
      </c>
      <c r="H89" s="2" t="s">
        <v>14</v>
      </c>
      <c r="I89" s="2">
        <v>5230</v>
      </c>
      <c r="J89" s="2">
        <v>6708205</v>
      </c>
      <c r="K89" s="3"/>
    </row>
    <row r="90" spans="2:11" ht="28.2" thickBot="1" x14ac:dyDescent="0.35">
      <c r="B90" s="2" t="s">
        <v>40</v>
      </c>
      <c r="C90" s="2" t="s">
        <v>30</v>
      </c>
      <c r="D90" s="2" t="s">
        <v>31</v>
      </c>
      <c r="E90" s="2" t="s">
        <v>17</v>
      </c>
      <c r="F90" s="2" t="s">
        <v>41</v>
      </c>
      <c r="G90" s="2" t="s">
        <v>19</v>
      </c>
      <c r="H90" s="2" t="s">
        <v>14</v>
      </c>
      <c r="I90" s="2">
        <v>5250</v>
      </c>
      <c r="J90" s="2">
        <v>5217156</v>
      </c>
      <c r="K90" s="3"/>
    </row>
    <row r="91" spans="2:11" ht="28.2" thickBot="1" x14ac:dyDescent="0.35">
      <c r="B91" s="2" t="s">
        <v>42</v>
      </c>
      <c r="C91" s="2" t="s">
        <v>10</v>
      </c>
      <c r="D91" s="2" t="s">
        <v>11</v>
      </c>
      <c r="E91" s="2" t="s">
        <v>12</v>
      </c>
      <c r="F91" s="2" t="s">
        <v>43</v>
      </c>
      <c r="G91" s="2" t="s">
        <v>44</v>
      </c>
      <c r="H91" s="2" t="s">
        <v>45</v>
      </c>
      <c r="I91" s="2">
        <v>5270</v>
      </c>
      <c r="J91" s="2">
        <v>7126758</v>
      </c>
      <c r="K91" s="3"/>
    </row>
    <row r="92" spans="2:11" ht="28.2" thickBot="1" x14ac:dyDescent="0.35">
      <c r="B92" s="2" t="s">
        <v>46</v>
      </c>
      <c r="C92" s="2" t="s">
        <v>10</v>
      </c>
      <c r="D92" s="2" t="s">
        <v>11</v>
      </c>
      <c r="E92" s="2" t="s">
        <v>17</v>
      </c>
      <c r="F92" s="2" t="s">
        <v>47</v>
      </c>
      <c r="G92" s="2" t="s">
        <v>39</v>
      </c>
      <c r="H92" s="2" t="s">
        <v>45</v>
      </c>
      <c r="I92" s="2">
        <v>5290</v>
      </c>
      <c r="J92" s="2">
        <v>1356885</v>
      </c>
      <c r="K92" s="3"/>
    </row>
    <row r="93" spans="2:11" ht="28.2" thickBot="1" x14ac:dyDescent="0.35">
      <c r="B93" s="2" t="s">
        <v>48</v>
      </c>
      <c r="C93" s="2" t="s">
        <v>10</v>
      </c>
      <c r="D93" s="2" t="s">
        <v>11</v>
      </c>
      <c r="E93" s="2" t="s">
        <v>75</v>
      </c>
      <c r="F93" s="2" t="s">
        <v>49</v>
      </c>
      <c r="G93" s="2" t="s">
        <v>50</v>
      </c>
      <c r="H93" s="2" t="s">
        <v>45</v>
      </c>
      <c r="I93" s="2">
        <v>5310</v>
      </c>
      <c r="J93" s="2">
        <v>3370182</v>
      </c>
      <c r="K93" s="3"/>
    </row>
    <row r="94" spans="2:11" ht="28.2" thickBot="1" x14ac:dyDescent="0.35">
      <c r="B94" s="2" t="s">
        <v>51</v>
      </c>
      <c r="C94" s="2" t="s">
        <v>10</v>
      </c>
      <c r="D94" s="2" t="s">
        <v>11</v>
      </c>
      <c r="E94" s="2" t="s">
        <v>12</v>
      </c>
      <c r="F94" s="2" t="s">
        <v>52</v>
      </c>
      <c r="G94" s="2" t="s">
        <v>50</v>
      </c>
      <c r="H94" s="2" t="s">
        <v>45</v>
      </c>
      <c r="I94" s="2">
        <v>5330</v>
      </c>
      <c r="J94" s="2">
        <v>2887570</v>
      </c>
      <c r="K94" s="3"/>
    </row>
    <row r="95" spans="2:11" ht="28.2" thickBot="1" x14ac:dyDescent="0.35">
      <c r="B95" s="2" t="s">
        <v>53</v>
      </c>
      <c r="C95" s="2" t="s">
        <v>10</v>
      </c>
      <c r="D95" s="2" t="s">
        <v>54</v>
      </c>
      <c r="E95" s="2" t="s">
        <v>17</v>
      </c>
      <c r="F95" s="2" t="s">
        <v>55</v>
      </c>
      <c r="G95" s="2" t="s">
        <v>19</v>
      </c>
      <c r="H95" s="2" t="s">
        <v>45</v>
      </c>
      <c r="I95" s="2">
        <v>5350</v>
      </c>
      <c r="J95" s="2">
        <v>9033531</v>
      </c>
      <c r="K95" s="3"/>
    </row>
    <row r="96" spans="2:11" ht="28.2" thickBot="1" x14ac:dyDescent="0.35">
      <c r="B96" s="2" t="s">
        <v>56</v>
      </c>
      <c r="C96" s="2" t="s">
        <v>10</v>
      </c>
      <c r="D96" s="2" t="s">
        <v>11</v>
      </c>
      <c r="E96" s="2" t="s">
        <v>57</v>
      </c>
      <c r="F96" s="2" t="s">
        <v>58</v>
      </c>
      <c r="G96" s="2" t="s">
        <v>59</v>
      </c>
      <c r="H96" s="2" t="s">
        <v>45</v>
      </c>
      <c r="I96" s="2">
        <v>5370</v>
      </c>
      <c r="J96" s="2">
        <v>6747895</v>
      </c>
      <c r="K96" s="3"/>
    </row>
    <row r="97" spans="2:11" ht="28.2" thickBot="1" x14ac:dyDescent="0.35">
      <c r="B97" s="2" t="s">
        <v>60</v>
      </c>
      <c r="C97" s="2" t="s">
        <v>30</v>
      </c>
      <c r="D97" s="2" t="s">
        <v>61</v>
      </c>
      <c r="E97" s="2" t="s">
        <v>17</v>
      </c>
      <c r="F97" s="2" t="s">
        <v>62</v>
      </c>
      <c r="G97" s="2" t="s">
        <v>39</v>
      </c>
      <c r="H97" s="2" t="s">
        <v>14</v>
      </c>
      <c r="I97" s="2">
        <v>5390</v>
      </c>
      <c r="J97" s="2">
        <v>1528735</v>
      </c>
      <c r="K97" s="3"/>
    </row>
    <row r="98" spans="2:11" ht="28.2" thickBot="1" x14ac:dyDescent="0.35">
      <c r="B98" s="2" t="s">
        <v>63</v>
      </c>
      <c r="C98" s="2" t="s">
        <v>30</v>
      </c>
      <c r="D98" s="2" t="s">
        <v>61</v>
      </c>
      <c r="E98" s="2" t="s">
        <v>12</v>
      </c>
      <c r="F98" s="2" t="s">
        <v>64</v>
      </c>
      <c r="G98" s="2" t="s">
        <v>50</v>
      </c>
      <c r="H98" s="2" t="s">
        <v>14</v>
      </c>
      <c r="I98" s="2">
        <v>5410</v>
      </c>
      <c r="J98" s="2">
        <v>5290153</v>
      </c>
      <c r="K98" s="3"/>
    </row>
    <row r="99" spans="2:11" ht="28.2" thickBot="1" x14ac:dyDescent="0.35">
      <c r="B99" s="2" t="s">
        <v>65</v>
      </c>
      <c r="C99" s="2" t="s">
        <v>10</v>
      </c>
      <c r="D99" s="2" t="s">
        <v>66</v>
      </c>
      <c r="E99" s="2" t="s">
        <v>12</v>
      </c>
      <c r="F99" s="2" t="s">
        <v>67</v>
      </c>
      <c r="G99" s="2" t="s">
        <v>50</v>
      </c>
      <c r="H99" s="2" t="s">
        <v>14</v>
      </c>
      <c r="I99" s="2">
        <v>5430</v>
      </c>
      <c r="J99" s="2">
        <v>3304596</v>
      </c>
      <c r="K99" s="3"/>
    </row>
    <row r="100" spans="2:11" ht="28.2" thickBot="1" x14ac:dyDescent="0.35">
      <c r="B100" s="2" t="s">
        <v>68</v>
      </c>
      <c r="C100" s="2" t="s">
        <v>10</v>
      </c>
      <c r="D100" s="2" t="s">
        <v>66</v>
      </c>
      <c r="E100" s="2" t="s">
        <v>26</v>
      </c>
      <c r="F100" s="2" t="s">
        <v>69</v>
      </c>
      <c r="G100" s="2" t="s">
        <v>28</v>
      </c>
      <c r="H100" s="2" t="s">
        <v>14</v>
      </c>
      <c r="I100" s="2">
        <v>5450</v>
      </c>
      <c r="J100" s="2">
        <v>2671306</v>
      </c>
      <c r="K100" s="3"/>
    </row>
    <row r="101" spans="2:11" ht="28.2" thickBot="1" x14ac:dyDescent="0.35">
      <c r="B101" s="2" t="s">
        <v>70</v>
      </c>
      <c r="C101" s="2" t="s">
        <v>10</v>
      </c>
      <c r="D101" s="2" t="s">
        <v>66</v>
      </c>
      <c r="E101" s="2" t="s">
        <v>26</v>
      </c>
      <c r="F101" s="2" t="s">
        <v>72</v>
      </c>
      <c r="G101" s="2" t="s">
        <v>28</v>
      </c>
      <c r="H101" s="2" t="s">
        <v>14</v>
      </c>
      <c r="I101" s="2">
        <v>5469</v>
      </c>
      <c r="J101" s="2">
        <v>4275084</v>
      </c>
      <c r="K101" s="3"/>
    </row>
    <row r="102" spans="2:11" ht="16.2" thickBot="1" x14ac:dyDescent="0.35">
      <c r="B102" s="2" t="s">
        <v>9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13</v>
      </c>
      <c r="H102" s="2" t="s">
        <v>14</v>
      </c>
      <c r="I102" s="2">
        <v>5450</v>
      </c>
      <c r="J102" s="2">
        <v>4796908</v>
      </c>
      <c r="K102" s="3"/>
    </row>
    <row r="103" spans="2:11" ht="42" thickBot="1" x14ac:dyDescent="0.35">
      <c r="B103" s="2" t="s">
        <v>15</v>
      </c>
      <c r="C103" s="2" t="s">
        <v>10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14</v>
      </c>
      <c r="I103" s="2">
        <v>5469</v>
      </c>
      <c r="J103" s="2">
        <v>6594820</v>
      </c>
      <c r="K103" s="3"/>
    </row>
    <row r="104" spans="2:11" ht="28.2" thickBot="1" x14ac:dyDescent="0.35">
      <c r="B104" s="2" t="s">
        <v>20</v>
      </c>
      <c r="C104" s="2" t="s">
        <v>10</v>
      </c>
      <c r="D104" s="2" t="s">
        <v>21</v>
      </c>
      <c r="E104" s="2" t="s">
        <v>22</v>
      </c>
      <c r="F104" s="2" t="s">
        <v>23</v>
      </c>
      <c r="G104" s="2" t="s">
        <v>24</v>
      </c>
      <c r="H104" s="2" t="s">
        <v>14</v>
      </c>
      <c r="I104" s="2">
        <v>5489</v>
      </c>
      <c r="J104" s="2">
        <v>4437695</v>
      </c>
      <c r="K104" s="3"/>
    </row>
    <row r="105" spans="2:11" ht="16.2" thickBot="1" x14ac:dyDescent="0.35">
      <c r="B105" s="2" t="s">
        <v>25</v>
      </c>
      <c r="C105" s="2" t="s">
        <v>10</v>
      </c>
      <c r="D105" s="2" t="s">
        <v>21</v>
      </c>
      <c r="E105" s="2" t="s">
        <v>26</v>
      </c>
      <c r="F105" s="2" t="s">
        <v>27</v>
      </c>
      <c r="G105" s="2" t="s">
        <v>28</v>
      </c>
      <c r="H105" s="2" t="s">
        <v>14</v>
      </c>
      <c r="I105" s="2">
        <v>5509</v>
      </c>
      <c r="J105" s="2">
        <v>3293386</v>
      </c>
      <c r="K105" s="3"/>
    </row>
    <row r="106" spans="2:11" ht="28.2" thickBot="1" x14ac:dyDescent="0.35">
      <c r="B106" s="2" t="s">
        <v>29</v>
      </c>
      <c r="C106" s="2" t="s">
        <v>30</v>
      </c>
      <c r="D106" s="2" t="s">
        <v>31</v>
      </c>
      <c r="E106" s="2" t="s">
        <v>26</v>
      </c>
      <c r="F106" s="2" t="s">
        <v>32</v>
      </c>
      <c r="G106" s="2" t="s">
        <v>33</v>
      </c>
      <c r="H106" s="2" t="s">
        <v>14</v>
      </c>
      <c r="I106" s="2">
        <v>5529</v>
      </c>
      <c r="J106" s="2">
        <v>5324221</v>
      </c>
      <c r="K106" s="3"/>
    </row>
    <row r="107" spans="2:11" ht="28.2" thickBot="1" x14ac:dyDescent="0.35">
      <c r="B107" s="2" t="s">
        <v>34</v>
      </c>
      <c r="C107" s="2" t="s">
        <v>30</v>
      </c>
      <c r="D107" s="2" t="s">
        <v>31</v>
      </c>
      <c r="E107" s="2" t="s">
        <v>26</v>
      </c>
      <c r="F107" s="2" t="s">
        <v>35</v>
      </c>
      <c r="G107" s="2" t="s">
        <v>36</v>
      </c>
      <c r="H107" s="2" t="s">
        <v>14</v>
      </c>
      <c r="I107" s="2">
        <v>5549</v>
      </c>
      <c r="J107" s="2">
        <v>3905250</v>
      </c>
      <c r="K107" s="3"/>
    </row>
    <row r="108" spans="2:11" ht="28.2" thickBot="1" x14ac:dyDescent="0.35">
      <c r="B108" s="2" t="s">
        <v>37</v>
      </c>
      <c r="C108" s="2" t="s">
        <v>30</v>
      </c>
      <c r="D108" s="2" t="s">
        <v>74</v>
      </c>
      <c r="E108" s="2" t="s">
        <v>17</v>
      </c>
      <c r="F108" s="2" t="s">
        <v>38</v>
      </c>
      <c r="G108" s="2" t="s">
        <v>39</v>
      </c>
      <c r="H108" s="2" t="s">
        <v>14</v>
      </c>
      <c r="I108" s="2">
        <v>5569</v>
      </c>
      <c r="J108" s="2">
        <v>6192618</v>
      </c>
      <c r="K108" s="3"/>
    </row>
    <row r="109" spans="2:11" ht="28.2" thickBot="1" x14ac:dyDescent="0.35">
      <c r="B109" s="2" t="s">
        <v>40</v>
      </c>
      <c r="C109" s="2" t="s">
        <v>30</v>
      </c>
      <c r="D109" s="2" t="s">
        <v>31</v>
      </c>
      <c r="E109" s="2" t="s">
        <v>17</v>
      </c>
      <c r="F109" s="2" t="s">
        <v>41</v>
      </c>
      <c r="G109" s="2" t="s">
        <v>19</v>
      </c>
      <c r="H109" s="2" t="s">
        <v>14</v>
      </c>
      <c r="I109" s="2">
        <v>5589</v>
      </c>
      <c r="J109" s="2">
        <v>5255244</v>
      </c>
      <c r="K109" s="3"/>
    </row>
    <row r="110" spans="2:11" ht="28.2" thickBot="1" x14ac:dyDescent="0.35">
      <c r="B110" s="2" t="s">
        <v>42</v>
      </c>
      <c r="C110" s="2" t="s">
        <v>10</v>
      </c>
      <c r="D110" s="2" t="s">
        <v>11</v>
      </c>
      <c r="E110" s="2" t="s">
        <v>12</v>
      </c>
      <c r="F110" s="2" t="s">
        <v>43</v>
      </c>
      <c r="G110" s="2" t="s">
        <v>44</v>
      </c>
      <c r="H110" s="2" t="s">
        <v>45</v>
      </c>
      <c r="I110" s="2">
        <v>5609</v>
      </c>
      <c r="J110" s="2">
        <v>6438095</v>
      </c>
      <c r="K110" s="3"/>
    </row>
    <row r="111" spans="2:11" ht="28.2" thickBot="1" x14ac:dyDescent="0.35">
      <c r="B111" s="2" t="s">
        <v>46</v>
      </c>
      <c r="C111" s="2" t="s">
        <v>10</v>
      </c>
      <c r="D111" s="2" t="s">
        <v>11</v>
      </c>
      <c r="E111" s="2" t="s">
        <v>17</v>
      </c>
      <c r="F111" s="2" t="s">
        <v>47</v>
      </c>
      <c r="G111" s="2" t="s">
        <v>39</v>
      </c>
      <c r="H111" s="2" t="s">
        <v>45</v>
      </c>
      <c r="I111" s="2">
        <v>5629</v>
      </c>
      <c r="J111" s="2">
        <v>2672000</v>
      </c>
      <c r="K111" s="3"/>
    </row>
    <row r="112" spans="2:11" ht="28.2" thickBot="1" x14ac:dyDescent="0.35">
      <c r="B112" s="2" t="s">
        <v>48</v>
      </c>
      <c r="C112" s="2" t="s">
        <v>10</v>
      </c>
      <c r="D112" s="2" t="s">
        <v>11</v>
      </c>
      <c r="E112" s="2" t="s">
        <v>75</v>
      </c>
      <c r="F112" s="2" t="s">
        <v>49</v>
      </c>
      <c r="G112" s="2" t="s">
        <v>50</v>
      </c>
      <c r="H112" s="2" t="s">
        <v>45</v>
      </c>
      <c r="I112" s="2">
        <v>5649</v>
      </c>
      <c r="J112" s="2">
        <v>6800576</v>
      </c>
      <c r="K112" s="3"/>
    </row>
    <row r="113" spans="2:11" ht="28.2" thickBot="1" x14ac:dyDescent="0.35">
      <c r="B113" s="2" t="s">
        <v>51</v>
      </c>
      <c r="C113" s="2" t="s">
        <v>10</v>
      </c>
      <c r="D113" s="2" t="s">
        <v>11</v>
      </c>
      <c r="E113" s="2" t="s">
        <v>12</v>
      </c>
      <c r="F113" s="2" t="s">
        <v>52</v>
      </c>
      <c r="G113" s="2" t="s">
        <v>50</v>
      </c>
      <c r="H113" s="2" t="s">
        <v>45</v>
      </c>
      <c r="I113" s="2">
        <v>5669</v>
      </c>
      <c r="J113" s="2">
        <v>3407724</v>
      </c>
      <c r="K113" s="3"/>
    </row>
    <row r="114" spans="2:11" ht="28.2" thickBot="1" x14ac:dyDescent="0.35">
      <c r="B114" s="2" t="s">
        <v>53</v>
      </c>
      <c r="C114" s="2" t="s">
        <v>10</v>
      </c>
      <c r="D114" s="2" t="s">
        <v>54</v>
      </c>
      <c r="E114" s="2" t="s">
        <v>17</v>
      </c>
      <c r="F114" s="2" t="s">
        <v>55</v>
      </c>
      <c r="G114" s="2" t="s">
        <v>19</v>
      </c>
      <c r="H114" s="2" t="s">
        <v>45</v>
      </c>
      <c r="I114" s="2">
        <v>5689</v>
      </c>
      <c r="J114" s="2">
        <v>1902560</v>
      </c>
      <c r="K114" s="3"/>
    </row>
    <row r="115" spans="2:11" ht="28.2" thickBot="1" x14ac:dyDescent="0.35">
      <c r="B115" s="2" t="s">
        <v>56</v>
      </c>
      <c r="C115" s="2" t="s">
        <v>10</v>
      </c>
      <c r="D115" s="2" t="s">
        <v>11</v>
      </c>
      <c r="E115" s="2" t="s">
        <v>57</v>
      </c>
      <c r="F115" s="2" t="s">
        <v>58</v>
      </c>
      <c r="G115" s="2" t="s">
        <v>59</v>
      </c>
      <c r="H115" s="2" t="s">
        <v>45</v>
      </c>
      <c r="I115" s="2">
        <v>5708</v>
      </c>
      <c r="J115" s="2">
        <v>4872609</v>
      </c>
      <c r="K115" s="3"/>
    </row>
    <row r="116" spans="2:11" ht="28.2" thickBot="1" x14ac:dyDescent="0.35">
      <c r="B116" s="2" t="s">
        <v>60</v>
      </c>
      <c r="C116" s="2" t="s">
        <v>30</v>
      </c>
      <c r="D116" s="2" t="s">
        <v>61</v>
      </c>
      <c r="E116" s="2" t="s">
        <v>17</v>
      </c>
      <c r="F116" s="2" t="s">
        <v>62</v>
      </c>
      <c r="G116" s="2" t="s">
        <v>39</v>
      </c>
      <c r="H116" s="2" t="s">
        <v>14</v>
      </c>
      <c r="I116" s="2">
        <v>5728</v>
      </c>
      <c r="J116" s="2">
        <v>3540726</v>
      </c>
      <c r="K116" s="3"/>
    </row>
    <row r="117" spans="2:11" ht="28.2" thickBot="1" x14ac:dyDescent="0.35">
      <c r="B117" s="2" t="s">
        <v>63</v>
      </c>
      <c r="C117" s="2" t="s">
        <v>30</v>
      </c>
      <c r="D117" s="2" t="s">
        <v>61</v>
      </c>
      <c r="E117" s="2" t="s">
        <v>12</v>
      </c>
      <c r="F117" s="2" t="s">
        <v>64</v>
      </c>
      <c r="G117" s="2" t="s">
        <v>50</v>
      </c>
      <c r="H117" s="2" t="s">
        <v>14</v>
      </c>
      <c r="I117" s="2">
        <v>5748</v>
      </c>
      <c r="J117" s="2">
        <v>6242976</v>
      </c>
      <c r="K117" s="3"/>
    </row>
    <row r="118" spans="2:11" ht="28.2" thickBot="1" x14ac:dyDescent="0.35">
      <c r="B118" s="2" t="s">
        <v>65</v>
      </c>
      <c r="C118" s="2" t="s">
        <v>10</v>
      </c>
      <c r="D118" s="2" t="s">
        <v>66</v>
      </c>
      <c r="E118" s="2" t="s">
        <v>12</v>
      </c>
      <c r="F118" s="2" t="s">
        <v>67</v>
      </c>
      <c r="G118" s="2" t="s">
        <v>50</v>
      </c>
      <c r="H118" s="2" t="s">
        <v>14</v>
      </c>
      <c r="I118" s="2">
        <v>5768</v>
      </c>
      <c r="J118" s="2">
        <v>3946464</v>
      </c>
      <c r="K118" s="3"/>
    </row>
    <row r="119" spans="2:11" ht="16.2" thickBot="1" x14ac:dyDescent="0.35">
      <c r="B119" s="2" t="s">
        <v>9</v>
      </c>
      <c r="C119" s="2" t="s">
        <v>10</v>
      </c>
      <c r="D119" s="2" t="s">
        <v>11</v>
      </c>
      <c r="E119" s="2" t="s">
        <v>12</v>
      </c>
      <c r="F119" s="2" t="s">
        <v>13</v>
      </c>
      <c r="G119" s="2" t="s">
        <v>13</v>
      </c>
      <c r="H119" s="2" t="s">
        <v>14</v>
      </c>
      <c r="I119" s="2">
        <v>5450</v>
      </c>
      <c r="J119" s="2">
        <v>5225856</v>
      </c>
      <c r="K119" s="3"/>
    </row>
    <row r="120" spans="2:11" ht="42" thickBot="1" x14ac:dyDescent="0.35">
      <c r="B120" s="2" t="s">
        <v>15</v>
      </c>
      <c r="C120" s="2" t="s">
        <v>10</v>
      </c>
      <c r="D120" s="2" t="s">
        <v>16</v>
      </c>
      <c r="E120" s="2" t="s">
        <v>17</v>
      </c>
      <c r="F120" s="2" t="s">
        <v>18</v>
      </c>
      <c r="G120" s="2" t="s">
        <v>19</v>
      </c>
      <c r="H120" s="2" t="s">
        <v>14</v>
      </c>
      <c r="I120" s="2">
        <v>5469</v>
      </c>
      <c r="J120" s="2">
        <v>2377830</v>
      </c>
      <c r="K120" s="3"/>
    </row>
    <row r="121" spans="2:11" ht="28.2" thickBot="1" x14ac:dyDescent="0.35">
      <c r="B121" s="2" t="s">
        <v>20</v>
      </c>
      <c r="C121" s="2" t="s">
        <v>10</v>
      </c>
      <c r="D121" s="2" t="s">
        <v>21</v>
      </c>
      <c r="E121" s="2" t="s">
        <v>22</v>
      </c>
      <c r="F121" s="2" t="s">
        <v>23</v>
      </c>
      <c r="G121" s="2" t="s">
        <v>24</v>
      </c>
      <c r="H121" s="2" t="s">
        <v>14</v>
      </c>
      <c r="I121" s="2">
        <v>5489</v>
      </c>
      <c r="J121" s="2">
        <v>2446290</v>
      </c>
      <c r="K121" s="3"/>
    </row>
    <row r="122" spans="2:11" ht="16.2" thickBot="1" x14ac:dyDescent="0.35">
      <c r="B122" s="2" t="s">
        <v>25</v>
      </c>
      <c r="C122" s="2" t="s">
        <v>10</v>
      </c>
      <c r="D122" s="2" t="s">
        <v>21</v>
      </c>
      <c r="E122" s="2" t="s">
        <v>26</v>
      </c>
      <c r="F122" s="2" t="s">
        <v>27</v>
      </c>
      <c r="G122" s="2" t="s">
        <v>28</v>
      </c>
      <c r="H122" s="2" t="s">
        <v>14</v>
      </c>
      <c r="I122" s="2">
        <v>5509</v>
      </c>
      <c r="J122" s="2">
        <v>5795784</v>
      </c>
      <c r="K122" s="3"/>
    </row>
    <row r="123" spans="2:11" ht="28.2" thickBot="1" x14ac:dyDescent="0.35">
      <c r="B123" s="2" t="s">
        <v>29</v>
      </c>
      <c r="C123" s="2" t="s">
        <v>30</v>
      </c>
      <c r="D123" s="2" t="s">
        <v>31</v>
      </c>
      <c r="E123" s="2" t="s">
        <v>26</v>
      </c>
      <c r="F123" s="2" t="s">
        <v>32</v>
      </c>
      <c r="G123" s="2" t="s">
        <v>33</v>
      </c>
      <c r="H123" s="2" t="s">
        <v>14</v>
      </c>
      <c r="I123" s="2">
        <v>5529</v>
      </c>
      <c r="J123" s="2">
        <v>2823285</v>
      </c>
      <c r="K123" s="3"/>
    </row>
    <row r="124" spans="2:11" ht="28.2" thickBot="1" x14ac:dyDescent="0.35">
      <c r="B124" s="2" t="s">
        <v>34</v>
      </c>
      <c r="C124" s="2" t="s">
        <v>30</v>
      </c>
      <c r="D124" s="2" t="s">
        <v>31</v>
      </c>
      <c r="E124" s="2" t="s">
        <v>26</v>
      </c>
      <c r="F124" s="2" t="s">
        <v>35</v>
      </c>
      <c r="G124" s="2" t="s">
        <v>36</v>
      </c>
      <c r="H124" s="2" t="s">
        <v>14</v>
      </c>
      <c r="I124" s="2">
        <v>5549</v>
      </c>
      <c r="J124" s="2">
        <v>5477964</v>
      </c>
      <c r="K124" s="3"/>
    </row>
    <row r="125" spans="2:11" ht="28.2" thickBot="1" x14ac:dyDescent="0.35">
      <c r="B125" s="2" t="s">
        <v>37</v>
      </c>
      <c r="C125" s="2" t="s">
        <v>30</v>
      </c>
      <c r="D125" s="2" t="s">
        <v>74</v>
      </c>
      <c r="E125" s="2" t="s">
        <v>17</v>
      </c>
      <c r="F125" s="2" t="s">
        <v>38</v>
      </c>
      <c r="G125" s="2" t="s">
        <v>39</v>
      </c>
      <c r="H125" s="2" t="s">
        <v>14</v>
      </c>
      <c r="I125" s="2">
        <v>5569</v>
      </c>
      <c r="J125" s="2">
        <v>3621286</v>
      </c>
      <c r="K125" s="3"/>
    </row>
    <row r="126" spans="2:11" ht="28.2" thickBot="1" x14ac:dyDescent="0.35">
      <c r="B126" s="2" t="s">
        <v>40</v>
      </c>
      <c r="C126" s="2" t="s">
        <v>30</v>
      </c>
      <c r="D126" s="2" t="s">
        <v>31</v>
      </c>
      <c r="E126" s="2" t="s">
        <v>17</v>
      </c>
      <c r="F126" s="2" t="s">
        <v>41</v>
      </c>
      <c r="G126" s="2" t="s">
        <v>19</v>
      </c>
      <c r="H126" s="2" t="s">
        <v>14</v>
      </c>
      <c r="I126" s="2">
        <v>5589</v>
      </c>
      <c r="J126" s="2">
        <v>4704803</v>
      </c>
      <c r="K126" s="3"/>
    </row>
    <row r="127" spans="2:11" ht="28.2" thickBot="1" x14ac:dyDescent="0.35">
      <c r="B127" s="2" t="s">
        <v>42</v>
      </c>
      <c r="C127" s="2" t="s">
        <v>10</v>
      </c>
      <c r="D127" s="2" t="s">
        <v>11</v>
      </c>
      <c r="E127" s="2" t="s">
        <v>12</v>
      </c>
      <c r="F127" s="2" t="s">
        <v>43</v>
      </c>
      <c r="G127" s="2" t="s">
        <v>44</v>
      </c>
      <c r="H127" s="2" t="s">
        <v>45</v>
      </c>
      <c r="I127" s="2">
        <v>5609</v>
      </c>
      <c r="J127" s="2">
        <v>1351636</v>
      </c>
      <c r="K127" s="3"/>
    </row>
    <row r="128" spans="2:11" ht="28.2" thickBot="1" x14ac:dyDescent="0.35">
      <c r="B128" s="2" t="s">
        <v>46</v>
      </c>
      <c r="C128" s="2" t="s">
        <v>10</v>
      </c>
      <c r="D128" s="2" t="s">
        <v>11</v>
      </c>
      <c r="E128" s="2" t="s">
        <v>17</v>
      </c>
      <c r="F128" s="2" t="s">
        <v>47</v>
      </c>
      <c r="G128" s="2" t="s">
        <v>39</v>
      </c>
      <c r="H128" s="2" t="s">
        <v>45</v>
      </c>
      <c r="I128" s="2">
        <v>5629</v>
      </c>
      <c r="J128" s="2">
        <v>1223827</v>
      </c>
      <c r="K128" s="3"/>
    </row>
    <row r="129" spans="2:11" ht="28.2" thickBot="1" x14ac:dyDescent="0.35">
      <c r="B129" s="2" t="s">
        <v>48</v>
      </c>
      <c r="C129" s="2" t="s">
        <v>10</v>
      </c>
      <c r="D129" s="2" t="s">
        <v>11</v>
      </c>
      <c r="E129" s="2" t="s">
        <v>75</v>
      </c>
      <c r="F129" s="2" t="s">
        <v>49</v>
      </c>
      <c r="G129" s="2" t="s">
        <v>50</v>
      </c>
      <c r="H129" s="2" t="s">
        <v>45</v>
      </c>
      <c r="I129" s="2">
        <v>5649</v>
      </c>
      <c r="J129" s="2">
        <v>2751280</v>
      </c>
      <c r="K129" s="3"/>
    </row>
    <row r="130" spans="2:11" ht="28.2" thickBot="1" x14ac:dyDescent="0.35">
      <c r="B130" s="2" t="s">
        <v>51</v>
      </c>
      <c r="C130" s="2" t="s">
        <v>10</v>
      </c>
      <c r="D130" s="2" t="s">
        <v>11</v>
      </c>
      <c r="E130" s="2" t="s">
        <v>12</v>
      </c>
      <c r="F130" s="2" t="s">
        <v>52</v>
      </c>
      <c r="G130" s="2" t="s">
        <v>50</v>
      </c>
      <c r="H130" s="2" t="s">
        <v>45</v>
      </c>
      <c r="I130" s="2">
        <v>5669</v>
      </c>
      <c r="J130" s="2">
        <v>1919885</v>
      </c>
      <c r="K130" s="3"/>
    </row>
    <row r="131" spans="2:11" ht="28.2" thickBot="1" x14ac:dyDescent="0.35">
      <c r="B131" s="2" t="s">
        <v>53</v>
      </c>
      <c r="C131" s="2" t="s">
        <v>10</v>
      </c>
      <c r="D131" s="2" t="s">
        <v>54</v>
      </c>
      <c r="E131" s="2" t="s">
        <v>17</v>
      </c>
      <c r="F131" s="2" t="s">
        <v>55</v>
      </c>
      <c r="G131" s="2" t="s">
        <v>19</v>
      </c>
      <c r="H131" s="2" t="s">
        <v>45</v>
      </c>
      <c r="I131" s="2">
        <v>5689</v>
      </c>
      <c r="J131" s="2">
        <v>4274517</v>
      </c>
      <c r="K131" s="3"/>
    </row>
    <row r="132" spans="2:11" ht="28.2" thickBot="1" x14ac:dyDescent="0.35">
      <c r="B132" s="2" t="s">
        <v>56</v>
      </c>
      <c r="C132" s="2" t="s">
        <v>10</v>
      </c>
      <c r="D132" s="2" t="s">
        <v>11</v>
      </c>
      <c r="E132" s="2" t="s">
        <v>57</v>
      </c>
      <c r="F132" s="2" t="s">
        <v>58</v>
      </c>
      <c r="G132" s="2" t="s">
        <v>59</v>
      </c>
      <c r="H132" s="2" t="s">
        <v>45</v>
      </c>
      <c r="I132" s="2">
        <v>5708</v>
      </c>
      <c r="J132" s="2">
        <v>4823073</v>
      </c>
      <c r="K132" s="3"/>
    </row>
    <row r="133" spans="2:11" ht="28.2" thickBot="1" x14ac:dyDescent="0.35">
      <c r="B133" s="2" t="s">
        <v>60</v>
      </c>
      <c r="C133" s="2" t="s">
        <v>30</v>
      </c>
      <c r="D133" s="2" t="s">
        <v>61</v>
      </c>
      <c r="E133" s="2" t="s">
        <v>17</v>
      </c>
      <c r="F133" s="2" t="s">
        <v>62</v>
      </c>
      <c r="G133" s="2" t="s">
        <v>39</v>
      </c>
      <c r="H133" s="2" t="s">
        <v>14</v>
      </c>
      <c r="I133" s="2">
        <v>5728</v>
      </c>
      <c r="J133" s="2">
        <v>1996896</v>
      </c>
      <c r="K133" s="3"/>
    </row>
    <row r="134" spans="2:11" ht="28.2" thickBot="1" x14ac:dyDescent="0.35">
      <c r="B134" s="2" t="s">
        <v>63</v>
      </c>
      <c r="C134" s="2" t="s">
        <v>30</v>
      </c>
      <c r="D134" s="2" t="s">
        <v>61</v>
      </c>
      <c r="E134" s="2" t="s">
        <v>12</v>
      </c>
      <c r="F134" s="2" t="s">
        <v>64</v>
      </c>
      <c r="G134" s="2" t="s">
        <v>50</v>
      </c>
      <c r="H134" s="2" t="s">
        <v>14</v>
      </c>
      <c r="I134" s="2">
        <v>5748</v>
      </c>
      <c r="J134" s="2">
        <v>1577225</v>
      </c>
      <c r="K134" s="3"/>
    </row>
    <row r="135" spans="2:11" ht="28.2" thickBot="1" x14ac:dyDescent="0.35">
      <c r="B135" s="2" t="s">
        <v>65</v>
      </c>
      <c r="C135" s="2" t="s">
        <v>10</v>
      </c>
      <c r="D135" s="2" t="s">
        <v>66</v>
      </c>
      <c r="E135" s="2" t="s">
        <v>12</v>
      </c>
      <c r="F135" s="2" t="s">
        <v>67</v>
      </c>
      <c r="G135" s="2" t="s">
        <v>50</v>
      </c>
      <c r="H135" s="2" t="s">
        <v>14</v>
      </c>
      <c r="I135" s="2">
        <v>5768</v>
      </c>
      <c r="J135" s="2">
        <v>3908358</v>
      </c>
      <c r="K135" s="3"/>
    </row>
    <row r="136" spans="2:11" ht="16.2" thickBot="1" x14ac:dyDescent="0.35">
      <c r="B136" s="2" t="s">
        <v>9</v>
      </c>
      <c r="C136" s="2" t="s">
        <v>10</v>
      </c>
      <c r="D136" s="2" t="s">
        <v>11</v>
      </c>
      <c r="E136" s="2" t="s">
        <v>12</v>
      </c>
      <c r="F136" s="2" t="s">
        <v>13</v>
      </c>
      <c r="G136" s="2" t="s">
        <v>13</v>
      </c>
      <c r="H136" s="2" t="s">
        <v>14</v>
      </c>
      <c r="I136" s="2">
        <v>5489</v>
      </c>
      <c r="J136" s="2">
        <v>3223200</v>
      </c>
      <c r="K136" s="3"/>
    </row>
    <row r="137" spans="2:11" ht="42" thickBot="1" x14ac:dyDescent="0.35">
      <c r="B137" s="2" t="s">
        <v>15</v>
      </c>
      <c r="C137" s="2" t="s">
        <v>10</v>
      </c>
      <c r="D137" s="2" t="s">
        <v>16</v>
      </c>
      <c r="E137" s="2" t="s">
        <v>17</v>
      </c>
      <c r="F137" s="2" t="s">
        <v>18</v>
      </c>
      <c r="G137" s="2" t="s">
        <v>19</v>
      </c>
      <c r="H137" s="2" t="s">
        <v>14</v>
      </c>
      <c r="I137" s="2">
        <v>5509</v>
      </c>
      <c r="J137" s="2">
        <v>1545668</v>
      </c>
      <c r="K137" s="3"/>
    </row>
    <row r="138" spans="2:11" ht="28.2" thickBot="1" x14ac:dyDescent="0.35">
      <c r="B138" s="2" t="s">
        <v>20</v>
      </c>
      <c r="C138" s="2" t="s">
        <v>10</v>
      </c>
      <c r="D138" s="2" t="s">
        <v>21</v>
      </c>
      <c r="E138" s="2" t="s">
        <v>22</v>
      </c>
      <c r="F138" s="2" t="s">
        <v>23</v>
      </c>
      <c r="G138" s="2" t="s">
        <v>24</v>
      </c>
      <c r="H138" s="2" t="s">
        <v>14</v>
      </c>
      <c r="I138" s="2">
        <v>5529</v>
      </c>
      <c r="J138" s="2">
        <v>4638410</v>
      </c>
      <c r="K138" s="3"/>
    </row>
    <row r="139" spans="2:11" ht="16.2" thickBot="1" x14ac:dyDescent="0.35">
      <c r="B139" s="2" t="s">
        <v>25</v>
      </c>
      <c r="C139" s="2" t="s">
        <v>10</v>
      </c>
      <c r="D139" s="2" t="s">
        <v>21</v>
      </c>
      <c r="E139" s="2" t="s">
        <v>26</v>
      </c>
      <c r="F139" s="2" t="s">
        <v>27</v>
      </c>
      <c r="G139" s="2" t="s">
        <v>28</v>
      </c>
      <c r="H139" s="2" t="s">
        <v>14</v>
      </c>
      <c r="I139" s="2">
        <v>5549</v>
      </c>
      <c r="J139" s="2">
        <v>4296810</v>
      </c>
      <c r="K139" s="3"/>
    </row>
    <row r="140" spans="2:11" ht="28.2" thickBot="1" x14ac:dyDescent="0.35">
      <c r="B140" s="2" t="s">
        <v>29</v>
      </c>
      <c r="C140" s="2" t="s">
        <v>30</v>
      </c>
      <c r="D140" s="2" t="s">
        <v>31</v>
      </c>
      <c r="E140" s="2" t="s">
        <v>26</v>
      </c>
      <c r="F140" s="2" t="s">
        <v>32</v>
      </c>
      <c r="G140" s="2" t="s">
        <v>33</v>
      </c>
      <c r="H140" s="2" t="s">
        <v>14</v>
      </c>
      <c r="I140" s="2">
        <v>5569</v>
      </c>
      <c r="J140" s="2">
        <v>4638348</v>
      </c>
      <c r="K140" s="3"/>
    </row>
    <row r="141" spans="2:11" ht="28.2" thickBot="1" x14ac:dyDescent="0.35">
      <c r="B141" s="2" t="s">
        <v>34</v>
      </c>
      <c r="C141" s="2" t="s">
        <v>30</v>
      </c>
      <c r="D141" s="2" t="s">
        <v>31</v>
      </c>
      <c r="E141" s="2" t="s">
        <v>26</v>
      </c>
      <c r="F141" s="2" t="s">
        <v>35</v>
      </c>
      <c r="G141" s="2" t="s">
        <v>36</v>
      </c>
      <c r="H141" s="2" t="s">
        <v>14</v>
      </c>
      <c r="I141" s="2">
        <v>5589</v>
      </c>
      <c r="J141" s="2">
        <v>8409246</v>
      </c>
      <c r="K141" s="3"/>
    </row>
    <row r="142" spans="2:11" ht="28.2" thickBot="1" x14ac:dyDescent="0.35">
      <c r="B142" s="2" t="s">
        <v>37</v>
      </c>
      <c r="C142" s="2" t="s">
        <v>30</v>
      </c>
      <c r="D142" s="2" t="s">
        <v>74</v>
      </c>
      <c r="E142" s="2" t="s">
        <v>17</v>
      </c>
      <c r="F142" s="2" t="s">
        <v>38</v>
      </c>
      <c r="G142" s="2" t="s">
        <v>39</v>
      </c>
      <c r="H142" s="2" t="s">
        <v>14</v>
      </c>
      <c r="I142" s="2">
        <v>5609</v>
      </c>
      <c r="J142" s="2">
        <v>3725384</v>
      </c>
      <c r="K142" s="3"/>
    </row>
    <row r="143" spans="2:11" ht="28.2" thickBot="1" x14ac:dyDescent="0.35">
      <c r="B143" s="2" t="s">
        <v>40</v>
      </c>
      <c r="C143" s="2" t="s">
        <v>30</v>
      </c>
      <c r="D143" s="2" t="s">
        <v>31</v>
      </c>
      <c r="E143" s="2" t="s">
        <v>17</v>
      </c>
      <c r="F143" s="2" t="s">
        <v>41</v>
      </c>
      <c r="G143" s="2" t="s">
        <v>19</v>
      </c>
      <c r="H143" s="2" t="s">
        <v>14</v>
      </c>
      <c r="I143" s="2">
        <v>5629</v>
      </c>
      <c r="J143" s="2">
        <v>6097110</v>
      </c>
      <c r="K143" s="3"/>
    </row>
    <row r="144" spans="2:11" ht="28.2" thickBot="1" x14ac:dyDescent="0.35">
      <c r="B144" s="2" t="s">
        <v>42</v>
      </c>
      <c r="C144" s="2" t="s">
        <v>10</v>
      </c>
      <c r="D144" s="2" t="s">
        <v>11</v>
      </c>
      <c r="E144" s="2" t="s">
        <v>12</v>
      </c>
      <c r="F144" s="2" t="s">
        <v>43</v>
      </c>
      <c r="G144" s="2" t="s">
        <v>44</v>
      </c>
      <c r="H144" s="2" t="s">
        <v>45</v>
      </c>
      <c r="I144" s="2">
        <v>5649</v>
      </c>
      <c r="J144" s="2">
        <v>2895288</v>
      </c>
      <c r="K144" s="3"/>
    </row>
    <row r="145" spans="2:11" ht="28.2" thickBot="1" x14ac:dyDescent="0.35">
      <c r="B145" s="2" t="s">
        <v>46</v>
      </c>
      <c r="C145" s="2" t="s">
        <v>10</v>
      </c>
      <c r="D145" s="2" t="s">
        <v>11</v>
      </c>
      <c r="E145" s="2" t="s">
        <v>17</v>
      </c>
      <c r="F145" s="2" t="s">
        <v>47</v>
      </c>
      <c r="G145" s="2" t="s">
        <v>39</v>
      </c>
      <c r="H145" s="2" t="s">
        <v>45</v>
      </c>
      <c r="I145" s="2">
        <v>5669</v>
      </c>
      <c r="J145" s="2">
        <v>8314173</v>
      </c>
      <c r="K145" s="3"/>
    </row>
    <row r="146" spans="2:11" ht="28.2" thickBot="1" x14ac:dyDescent="0.35">
      <c r="B146" s="2" t="s">
        <v>48</v>
      </c>
      <c r="C146" s="2" t="s">
        <v>10</v>
      </c>
      <c r="D146" s="2" t="s">
        <v>11</v>
      </c>
      <c r="E146" s="2" t="s">
        <v>75</v>
      </c>
      <c r="F146" s="2" t="s">
        <v>49</v>
      </c>
      <c r="G146" s="2" t="s">
        <v>50</v>
      </c>
      <c r="H146" s="2" t="s">
        <v>45</v>
      </c>
      <c r="I146" s="2">
        <v>5689</v>
      </c>
      <c r="J146" s="2">
        <v>3337236</v>
      </c>
      <c r="K146" s="3"/>
    </row>
    <row r="147" spans="2:11" ht="28.2" thickBot="1" x14ac:dyDescent="0.35">
      <c r="B147" s="2" t="s">
        <v>51</v>
      </c>
      <c r="C147" s="2" t="s">
        <v>10</v>
      </c>
      <c r="D147" s="2" t="s">
        <v>11</v>
      </c>
      <c r="E147" s="2" t="s">
        <v>12</v>
      </c>
      <c r="F147" s="2" t="s">
        <v>52</v>
      </c>
      <c r="G147" s="2" t="s">
        <v>50</v>
      </c>
      <c r="H147" s="2" t="s">
        <v>45</v>
      </c>
      <c r="I147" s="2">
        <v>5708</v>
      </c>
      <c r="J147" s="2">
        <v>6371979</v>
      </c>
      <c r="K147" s="3"/>
    </row>
    <row r="148" spans="2:11" ht="28.2" thickBot="1" x14ac:dyDescent="0.35">
      <c r="B148" s="2" t="s">
        <v>53</v>
      </c>
      <c r="C148" s="2" t="s">
        <v>10</v>
      </c>
      <c r="D148" s="2" t="s">
        <v>54</v>
      </c>
      <c r="E148" s="2" t="s">
        <v>17</v>
      </c>
      <c r="F148" s="2" t="s">
        <v>55</v>
      </c>
      <c r="G148" s="2" t="s">
        <v>19</v>
      </c>
      <c r="H148" s="2" t="s">
        <v>45</v>
      </c>
      <c r="I148" s="2">
        <v>5728</v>
      </c>
      <c r="J148" s="2">
        <v>2273587</v>
      </c>
      <c r="K148" s="3"/>
    </row>
    <row r="149" spans="2:11" ht="28.2" thickBot="1" x14ac:dyDescent="0.35">
      <c r="B149" s="2" t="s">
        <v>56</v>
      </c>
      <c r="C149" s="2" t="s">
        <v>10</v>
      </c>
      <c r="D149" s="2" t="s">
        <v>11</v>
      </c>
      <c r="E149" s="2" t="s">
        <v>57</v>
      </c>
      <c r="F149" s="2" t="s">
        <v>58</v>
      </c>
      <c r="G149" s="2" t="s">
        <v>59</v>
      </c>
      <c r="H149" s="2" t="s">
        <v>45</v>
      </c>
      <c r="I149" s="2">
        <v>5748</v>
      </c>
      <c r="J149" s="2">
        <v>4605916</v>
      </c>
      <c r="K149" s="3"/>
    </row>
    <row r="150" spans="2:11" ht="28.2" thickBot="1" x14ac:dyDescent="0.35">
      <c r="B150" s="2" t="s">
        <v>60</v>
      </c>
      <c r="C150" s="2" t="s">
        <v>30</v>
      </c>
      <c r="D150" s="2" t="s">
        <v>61</v>
      </c>
      <c r="E150" s="2" t="s">
        <v>17</v>
      </c>
      <c r="F150" s="2" t="s">
        <v>62</v>
      </c>
      <c r="G150" s="2" t="s">
        <v>39</v>
      </c>
      <c r="H150" s="2" t="s">
        <v>14</v>
      </c>
      <c r="I150" s="2">
        <v>5768</v>
      </c>
      <c r="J150" s="2">
        <v>3544530</v>
      </c>
      <c r="K150" s="3"/>
    </row>
    <row r="151" spans="2:11" ht="28.2" thickBot="1" x14ac:dyDescent="0.35">
      <c r="B151" s="2" t="s">
        <v>63</v>
      </c>
      <c r="C151" s="2" t="s">
        <v>30</v>
      </c>
      <c r="D151" s="2" t="s">
        <v>61</v>
      </c>
      <c r="E151" s="2" t="s">
        <v>12</v>
      </c>
      <c r="F151" s="2" t="s">
        <v>64</v>
      </c>
      <c r="G151" s="2" t="s">
        <v>50</v>
      </c>
      <c r="H151" s="2" t="s">
        <v>14</v>
      </c>
      <c r="I151" s="2">
        <v>5788</v>
      </c>
      <c r="J151" s="2">
        <v>3912149</v>
      </c>
      <c r="K151" s="3"/>
    </row>
    <row r="152" spans="2:11" ht="28.2" thickBot="1" x14ac:dyDescent="0.35">
      <c r="B152" s="2" t="s">
        <v>65</v>
      </c>
      <c r="C152" s="2" t="s">
        <v>10</v>
      </c>
      <c r="D152" s="2" t="s">
        <v>66</v>
      </c>
      <c r="E152" s="2" t="s">
        <v>12</v>
      </c>
      <c r="F152" s="2" t="s">
        <v>67</v>
      </c>
      <c r="G152" s="2" t="s">
        <v>50</v>
      </c>
      <c r="H152" s="2" t="s">
        <v>14</v>
      </c>
      <c r="I152" s="2">
        <v>5808</v>
      </c>
      <c r="J152" s="2">
        <v>4390670</v>
      </c>
      <c r="K152" s="3"/>
    </row>
    <row r="153" spans="2:11" ht="28.2" thickBot="1" x14ac:dyDescent="0.35">
      <c r="B153" s="2" t="s">
        <v>68</v>
      </c>
      <c r="C153" s="2" t="s">
        <v>10</v>
      </c>
      <c r="D153" s="2" t="s">
        <v>66</v>
      </c>
      <c r="E153" s="2" t="s">
        <v>26</v>
      </c>
      <c r="F153" s="2" t="s">
        <v>69</v>
      </c>
      <c r="G153" s="2" t="s">
        <v>28</v>
      </c>
      <c r="H153" s="2" t="s">
        <v>14</v>
      </c>
      <c r="I153" s="2">
        <v>5828</v>
      </c>
      <c r="J153" s="2">
        <v>5331045</v>
      </c>
      <c r="K153" s="3"/>
    </row>
    <row r="154" spans="2:11" ht="28.2" thickBot="1" x14ac:dyDescent="0.35">
      <c r="B154" s="2" t="s">
        <v>70</v>
      </c>
      <c r="C154" s="2" t="s">
        <v>10</v>
      </c>
      <c r="D154" s="2" t="s">
        <v>66</v>
      </c>
      <c r="E154" s="2" t="s">
        <v>26</v>
      </c>
      <c r="F154" s="2" t="s">
        <v>72</v>
      </c>
      <c r="G154" s="2" t="s">
        <v>28</v>
      </c>
      <c r="H154" s="2" t="s">
        <v>14</v>
      </c>
      <c r="I154" s="2">
        <v>5848</v>
      </c>
      <c r="J154" s="2">
        <v>7530354</v>
      </c>
      <c r="K154" s="3"/>
    </row>
    <row r="155" spans="2:11" ht="16.2" thickBot="1" x14ac:dyDescent="0.35">
      <c r="B155" s="2" t="s">
        <v>9</v>
      </c>
      <c r="C155" s="2" t="s">
        <v>10</v>
      </c>
      <c r="D155" s="2" t="s">
        <v>11</v>
      </c>
      <c r="E155" s="2" t="s">
        <v>12</v>
      </c>
      <c r="F155" s="2" t="s">
        <v>13</v>
      </c>
      <c r="G155" s="2" t="s">
        <v>13</v>
      </c>
      <c r="H155" s="2" t="s">
        <v>14</v>
      </c>
      <c r="I155" s="2">
        <v>5609</v>
      </c>
      <c r="J155" s="2">
        <v>7368936</v>
      </c>
      <c r="K155" s="3"/>
    </row>
    <row r="156" spans="2:11" ht="42" thickBot="1" x14ac:dyDescent="0.35">
      <c r="B156" s="2" t="s">
        <v>15</v>
      </c>
      <c r="C156" s="2" t="s">
        <v>10</v>
      </c>
      <c r="D156" s="2" t="s">
        <v>16</v>
      </c>
      <c r="E156" s="2" t="s">
        <v>17</v>
      </c>
      <c r="F156" s="2" t="s">
        <v>18</v>
      </c>
      <c r="G156" s="2" t="s">
        <v>19</v>
      </c>
      <c r="H156" s="2" t="s">
        <v>14</v>
      </c>
      <c r="I156" s="2">
        <v>5629</v>
      </c>
      <c r="J156" s="2">
        <v>7945010</v>
      </c>
      <c r="K156" s="3"/>
    </row>
    <row r="157" spans="2:11" ht="28.2" thickBot="1" x14ac:dyDescent="0.35">
      <c r="B157" s="2" t="s">
        <v>20</v>
      </c>
      <c r="C157" s="2" t="s">
        <v>10</v>
      </c>
      <c r="D157" s="2" t="s">
        <v>21</v>
      </c>
      <c r="E157" s="2" t="s">
        <v>22</v>
      </c>
      <c r="F157" s="2" t="s">
        <v>23</v>
      </c>
      <c r="G157" s="2" t="s">
        <v>24</v>
      </c>
      <c r="H157" s="2" t="s">
        <v>14</v>
      </c>
      <c r="I157" s="2">
        <v>5649</v>
      </c>
      <c r="J157" s="2">
        <v>3867012</v>
      </c>
      <c r="K157" s="3"/>
    </row>
    <row r="158" spans="2:11" ht="16.2" thickBot="1" x14ac:dyDescent="0.35">
      <c r="B158" s="2" t="s">
        <v>25</v>
      </c>
      <c r="C158" s="2" t="s">
        <v>10</v>
      </c>
      <c r="D158" s="2" t="s">
        <v>21</v>
      </c>
      <c r="E158" s="2" t="s">
        <v>26</v>
      </c>
      <c r="F158" s="2" t="s">
        <v>27</v>
      </c>
      <c r="G158" s="2" t="s">
        <v>28</v>
      </c>
      <c r="H158" s="2" t="s">
        <v>14</v>
      </c>
      <c r="I158" s="2">
        <v>5669</v>
      </c>
      <c r="J158" s="2">
        <v>2810830</v>
      </c>
      <c r="K158" s="3"/>
    </row>
    <row r="159" spans="2:11" ht="28.2" thickBot="1" x14ac:dyDescent="0.35">
      <c r="B159" s="2" t="s">
        <v>29</v>
      </c>
      <c r="C159" s="2" t="s">
        <v>30</v>
      </c>
      <c r="D159" s="2" t="s">
        <v>31</v>
      </c>
      <c r="E159" s="2" t="s">
        <v>26</v>
      </c>
      <c r="F159" s="2" t="s">
        <v>32</v>
      </c>
      <c r="G159" s="2" t="s">
        <v>33</v>
      </c>
      <c r="H159" s="2" t="s">
        <v>14</v>
      </c>
      <c r="I159" s="2">
        <v>5689</v>
      </c>
      <c r="J159" s="2">
        <v>6147545</v>
      </c>
      <c r="K159" s="3"/>
    </row>
    <row r="160" spans="2:11" ht="28.2" thickBot="1" x14ac:dyDescent="0.35">
      <c r="B160" s="2" t="s">
        <v>34</v>
      </c>
      <c r="C160" s="2" t="s">
        <v>30</v>
      </c>
      <c r="D160" s="2" t="s">
        <v>31</v>
      </c>
      <c r="E160" s="2" t="s">
        <v>26</v>
      </c>
      <c r="F160" s="2" t="s">
        <v>35</v>
      </c>
      <c r="G160" s="2" t="s">
        <v>36</v>
      </c>
      <c r="H160" s="2" t="s">
        <v>14</v>
      </c>
      <c r="I160" s="2">
        <v>5708</v>
      </c>
      <c r="J160" s="2">
        <v>7446900</v>
      </c>
      <c r="K160" s="3"/>
    </row>
    <row r="161" spans="2:11" ht="28.2" thickBot="1" x14ac:dyDescent="0.35">
      <c r="B161" s="2" t="s">
        <v>37</v>
      </c>
      <c r="C161" s="2" t="s">
        <v>30</v>
      </c>
      <c r="D161" s="2" t="s">
        <v>74</v>
      </c>
      <c r="E161" s="2" t="s">
        <v>17</v>
      </c>
      <c r="F161" s="2" t="s">
        <v>38</v>
      </c>
      <c r="G161" s="2" t="s">
        <v>39</v>
      </c>
      <c r="H161" s="2" t="s">
        <v>14</v>
      </c>
      <c r="I161" s="2">
        <v>5728</v>
      </c>
      <c r="J161" s="2">
        <v>5130000</v>
      </c>
      <c r="K161" s="3"/>
    </row>
    <row r="162" spans="2:11" ht="28.2" thickBot="1" x14ac:dyDescent="0.35">
      <c r="B162" s="2" t="s">
        <v>40</v>
      </c>
      <c r="C162" s="2" t="s">
        <v>30</v>
      </c>
      <c r="D162" s="2" t="s">
        <v>31</v>
      </c>
      <c r="E162" s="2" t="s">
        <v>17</v>
      </c>
      <c r="F162" s="2" t="s">
        <v>41</v>
      </c>
      <c r="G162" s="2" t="s">
        <v>19</v>
      </c>
      <c r="H162" s="2" t="s">
        <v>14</v>
      </c>
      <c r="I162" s="2">
        <v>5748</v>
      </c>
      <c r="J162" s="2">
        <v>1462880</v>
      </c>
      <c r="K162" s="3"/>
    </row>
    <row r="163" spans="2:11" ht="16.2" thickBot="1" x14ac:dyDescent="0.35">
      <c r="B163" s="2" t="s">
        <v>9</v>
      </c>
      <c r="C163" s="2" t="s">
        <v>10</v>
      </c>
      <c r="D163" s="2" t="s">
        <v>11</v>
      </c>
      <c r="E163" s="2" t="s">
        <v>12</v>
      </c>
      <c r="F163" s="2" t="s">
        <v>13</v>
      </c>
      <c r="G163" s="2" t="s">
        <v>13</v>
      </c>
      <c r="H163" s="2" t="s">
        <v>14</v>
      </c>
      <c r="I163" s="2">
        <v>5489</v>
      </c>
      <c r="J163" s="2">
        <v>3667648</v>
      </c>
      <c r="K163" s="3"/>
    </row>
    <row r="164" spans="2:11" ht="42" thickBot="1" x14ac:dyDescent="0.35">
      <c r="B164" s="2" t="s">
        <v>15</v>
      </c>
      <c r="C164" s="2" t="s">
        <v>10</v>
      </c>
      <c r="D164" s="2" t="s">
        <v>16</v>
      </c>
      <c r="E164" s="2" t="s">
        <v>17</v>
      </c>
      <c r="F164" s="2" t="s">
        <v>18</v>
      </c>
      <c r="G164" s="2" t="s">
        <v>19</v>
      </c>
      <c r="H164" s="2" t="s">
        <v>14</v>
      </c>
      <c r="I164" s="2">
        <v>5509</v>
      </c>
      <c r="J164" s="2">
        <v>5275072</v>
      </c>
      <c r="K164" s="3"/>
    </row>
    <row r="165" spans="2:11" ht="28.2" thickBot="1" x14ac:dyDescent="0.35">
      <c r="B165" s="2" t="s">
        <v>20</v>
      </c>
      <c r="C165" s="2" t="s">
        <v>10</v>
      </c>
      <c r="D165" s="2" t="s">
        <v>21</v>
      </c>
      <c r="E165" s="2" t="s">
        <v>22</v>
      </c>
      <c r="F165" s="2" t="s">
        <v>23</v>
      </c>
      <c r="G165" s="2" t="s">
        <v>24</v>
      </c>
      <c r="H165" s="2" t="s">
        <v>14</v>
      </c>
      <c r="I165" s="2">
        <v>5529</v>
      </c>
      <c r="J165" s="2">
        <v>1704000</v>
      </c>
      <c r="K165" s="3"/>
    </row>
    <row r="166" spans="2:11" ht="16.2" thickBot="1" x14ac:dyDescent="0.35">
      <c r="B166" s="2" t="s">
        <v>25</v>
      </c>
      <c r="C166" s="2" t="s">
        <v>10</v>
      </c>
      <c r="D166" s="2" t="s">
        <v>21</v>
      </c>
      <c r="E166" s="2" t="s">
        <v>26</v>
      </c>
      <c r="F166" s="2" t="s">
        <v>27</v>
      </c>
      <c r="G166" s="2" t="s">
        <v>28</v>
      </c>
      <c r="H166" s="2" t="s">
        <v>14</v>
      </c>
      <c r="I166" s="2">
        <v>5549</v>
      </c>
      <c r="J166" s="2">
        <v>3566255</v>
      </c>
      <c r="K166" s="3"/>
    </row>
    <row r="167" spans="2:11" ht="28.2" thickBot="1" x14ac:dyDescent="0.35">
      <c r="B167" s="2" t="s">
        <v>29</v>
      </c>
      <c r="C167" s="2" t="s">
        <v>30</v>
      </c>
      <c r="D167" s="2" t="s">
        <v>31</v>
      </c>
      <c r="E167" s="2" t="s">
        <v>26</v>
      </c>
      <c r="F167" s="2" t="s">
        <v>32</v>
      </c>
      <c r="G167" s="2" t="s">
        <v>33</v>
      </c>
      <c r="H167" s="2" t="s">
        <v>14</v>
      </c>
      <c r="I167" s="2">
        <v>5569</v>
      </c>
      <c r="J167" s="2">
        <v>5784832</v>
      </c>
      <c r="K167" s="3"/>
    </row>
    <row r="168" spans="2:11" ht="28.2" thickBot="1" x14ac:dyDescent="0.35">
      <c r="B168" s="2" t="s">
        <v>34</v>
      </c>
      <c r="C168" s="2" t="s">
        <v>30</v>
      </c>
      <c r="D168" s="2" t="s">
        <v>31</v>
      </c>
      <c r="E168" s="2" t="s">
        <v>26</v>
      </c>
      <c r="F168" s="2" t="s">
        <v>35</v>
      </c>
      <c r="G168" s="2" t="s">
        <v>36</v>
      </c>
      <c r="H168" s="2" t="s">
        <v>14</v>
      </c>
      <c r="I168" s="2">
        <v>5589</v>
      </c>
      <c r="J168" s="2">
        <v>3961980</v>
      </c>
      <c r="K168" s="3"/>
    </row>
    <row r="169" spans="2:11" ht="28.2" thickBot="1" x14ac:dyDescent="0.35">
      <c r="B169" s="2" t="s">
        <v>37</v>
      </c>
      <c r="C169" s="2" t="s">
        <v>30</v>
      </c>
      <c r="D169" s="2" t="s">
        <v>74</v>
      </c>
      <c r="E169" s="2" t="s">
        <v>17</v>
      </c>
      <c r="F169" s="2" t="s">
        <v>38</v>
      </c>
      <c r="G169" s="2" t="s">
        <v>39</v>
      </c>
      <c r="H169" s="2" t="s">
        <v>14</v>
      </c>
      <c r="I169" s="2">
        <v>5609</v>
      </c>
      <c r="J169" s="2">
        <v>7618572</v>
      </c>
      <c r="K169" s="3"/>
    </row>
    <row r="170" spans="2:11" ht="28.2" thickBot="1" x14ac:dyDescent="0.35">
      <c r="B170" s="2" t="s">
        <v>40</v>
      </c>
      <c r="C170" s="2" t="s">
        <v>30</v>
      </c>
      <c r="D170" s="2" t="s">
        <v>31</v>
      </c>
      <c r="E170" s="2" t="s">
        <v>17</v>
      </c>
      <c r="F170" s="2" t="s">
        <v>41</v>
      </c>
      <c r="G170" s="2" t="s">
        <v>19</v>
      </c>
      <c r="H170" s="2" t="s">
        <v>14</v>
      </c>
      <c r="I170" s="2">
        <v>5629</v>
      </c>
      <c r="J170" s="2">
        <v>1449020</v>
      </c>
      <c r="K170" s="3"/>
    </row>
    <row r="171" spans="2:11" ht="28.2" thickBot="1" x14ac:dyDescent="0.35">
      <c r="B171" s="2" t="s">
        <v>42</v>
      </c>
      <c r="C171" s="2" t="s">
        <v>10</v>
      </c>
      <c r="D171" s="2" t="s">
        <v>11</v>
      </c>
      <c r="E171" s="2" t="s">
        <v>12</v>
      </c>
      <c r="F171" s="2" t="s">
        <v>43</v>
      </c>
      <c r="G171" s="2" t="s">
        <v>44</v>
      </c>
      <c r="H171" s="2" t="s">
        <v>45</v>
      </c>
      <c r="I171" s="2">
        <v>5649</v>
      </c>
      <c r="J171" s="2">
        <v>1082720</v>
      </c>
      <c r="K171" s="3"/>
    </row>
    <row r="172" spans="2:11" ht="28.2" thickBot="1" x14ac:dyDescent="0.35">
      <c r="B172" s="2" t="s">
        <v>46</v>
      </c>
      <c r="C172" s="2" t="s">
        <v>10</v>
      </c>
      <c r="D172" s="2" t="s">
        <v>11</v>
      </c>
      <c r="E172" s="2" t="s">
        <v>17</v>
      </c>
      <c r="F172" s="2" t="s">
        <v>47</v>
      </c>
      <c r="G172" s="2" t="s">
        <v>39</v>
      </c>
      <c r="H172" s="2" t="s">
        <v>45</v>
      </c>
      <c r="I172" s="2">
        <v>5669</v>
      </c>
      <c r="J172" s="2">
        <v>3690431</v>
      </c>
      <c r="K172" s="3"/>
    </row>
    <row r="173" spans="2:11" ht="28.2" thickBot="1" x14ac:dyDescent="0.35">
      <c r="B173" s="2" t="s">
        <v>48</v>
      </c>
      <c r="C173" s="2" t="s">
        <v>10</v>
      </c>
      <c r="D173" s="2" t="s">
        <v>11</v>
      </c>
      <c r="E173" s="2" t="s">
        <v>75</v>
      </c>
      <c r="F173" s="2" t="s">
        <v>49</v>
      </c>
      <c r="G173" s="2" t="s">
        <v>50</v>
      </c>
      <c r="H173" s="2" t="s">
        <v>45</v>
      </c>
      <c r="I173" s="2">
        <v>5689</v>
      </c>
      <c r="J173" s="2">
        <v>4109952</v>
      </c>
      <c r="K173" s="3"/>
    </row>
    <row r="174" spans="2:11" ht="28.2" thickBot="1" x14ac:dyDescent="0.35">
      <c r="B174" s="2" t="s">
        <v>51</v>
      </c>
      <c r="C174" s="2" t="s">
        <v>10</v>
      </c>
      <c r="D174" s="2" t="s">
        <v>11</v>
      </c>
      <c r="E174" s="2" t="s">
        <v>12</v>
      </c>
      <c r="F174" s="2" t="s">
        <v>52</v>
      </c>
      <c r="G174" s="2" t="s">
        <v>50</v>
      </c>
      <c r="H174" s="2" t="s">
        <v>45</v>
      </c>
      <c r="I174" s="2">
        <v>5708</v>
      </c>
      <c r="J174" s="2">
        <v>5592580</v>
      </c>
      <c r="K174" s="3"/>
    </row>
    <row r="175" spans="2:11" ht="28.2" thickBot="1" x14ac:dyDescent="0.35">
      <c r="B175" s="2" t="s">
        <v>53</v>
      </c>
      <c r="C175" s="2" t="s">
        <v>10</v>
      </c>
      <c r="D175" s="2" t="s">
        <v>54</v>
      </c>
      <c r="E175" s="2" t="s">
        <v>17</v>
      </c>
      <c r="F175" s="2" t="s">
        <v>55</v>
      </c>
      <c r="G175" s="2" t="s">
        <v>19</v>
      </c>
      <c r="H175" s="2" t="s">
        <v>45</v>
      </c>
      <c r="I175" s="2">
        <v>5728</v>
      </c>
      <c r="J175" s="2">
        <v>5403480</v>
      </c>
      <c r="K175" s="3"/>
    </row>
    <row r="176" spans="2:11" ht="28.2" thickBot="1" x14ac:dyDescent="0.35">
      <c r="B176" s="2" t="s">
        <v>56</v>
      </c>
      <c r="C176" s="2" t="s">
        <v>10</v>
      </c>
      <c r="D176" s="2" t="s">
        <v>11</v>
      </c>
      <c r="E176" s="2" t="s">
        <v>57</v>
      </c>
      <c r="F176" s="2" t="s">
        <v>58</v>
      </c>
      <c r="G176" s="2" t="s">
        <v>59</v>
      </c>
      <c r="H176" s="2" t="s">
        <v>45</v>
      </c>
      <c r="I176" s="2">
        <v>5748</v>
      </c>
      <c r="J176" s="2">
        <v>4768498</v>
      </c>
      <c r="K176" s="3"/>
    </row>
    <row r="177" spans="2:11" ht="28.2" thickBot="1" x14ac:dyDescent="0.35">
      <c r="B177" s="2" t="s">
        <v>60</v>
      </c>
      <c r="C177" s="2" t="s">
        <v>30</v>
      </c>
      <c r="D177" s="2" t="s">
        <v>61</v>
      </c>
      <c r="E177" s="2" t="s">
        <v>17</v>
      </c>
      <c r="F177" s="2" t="s">
        <v>62</v>
      </c>
      <c r="G177" s="2" t="s">
        <v>39</v>
      </c>
      <c r="H177" s="2" t="s">
        <v>14</v>
      </c>
      <c r="I177" s="2">
        <v>5768</v>
      </c>
      <c r="J177" s="2">
        <v>3700883</v>
      </c>
      <c r="K177" s="3"/>
    </row>
    <row r="178" spans="2:11" ht="28.2" thickBot="1" x14ac:dyDescent="0.35">
      <c r="B178" s="2" t="s">
        <v>63</v>
      </c>
      <c r="C178" s="2" t="s">
        <v>30</v>
      </c>
      <c r="D178" s="2" t="s">
        <v>61</v>
      </c>
      <c r="E178" s="2" t="s">
        <v>12</v>
      </c>
      <c r="F178" s="2" t="s">
        <v>64</v>
      </c>
      <c r="G178" s="2" t="s">
        <v>50</v>
      </c>
      <c r="H178" s="2" t="s">
        <v>14</v>
      </c>
      <c r="I178" s="2">
        <v>5788</v>
      </c>
      <c r="J178" s="2">
        <v>1658864</v>
      </c>
      <c r="K178" s="3"/>
    </row>
    <row r="179" spans="2:11" ht="28.2" thickBot="1" x14ac:dyDescent="0.35">
      <c r="B179" s="2" t="s">
        <v>65</v>
      </c>
      <c r="C179" s="2" t="s">
        <v>10</v>
      </c>
      <c r="D179" s="2" t="s">
        <v>66</v>
      </c>
      <c r="E179" s="2" t="s">
        <v>12</v>
      </c>
      <c r="F179" s="2" t="s">
        <v>67</v>
      </c>
      <c r="G179" s="2" t="s">
        <v>50</v>
      </c>
      <c r="H179" s="2" t="s">
        <v>14</v>
      </c>
      <c r="I179" s="2">
        <v>5808</v>
      </c>
      <c r="J179" s="2">
        <v>4031760</v>
      </c>
      <c r="K179" s="3"/>
    </row>
    <row r="180" spans="2:11" ht="28.2" thickBot="1" x14ac:dyDescent="0.35">
      <c r="B180" s="2" t="s">
        <v>68</v>
      </c>
      <c r="C180" s="2" t="s">
        <v>10</v>
      </c>
      <c r="D180" s="2" t="s">
        <v>66</v>
      </c>
      <c r="E180" s="2" t="s">
        <v>26</v>
      </c>
      <c r="F180" s="2" t="s">
        <v>69</v>
      </c>
      <c r="G180" s="2" t="s">
        <v>28</v>
      </c>
      <c r="H180" s="2" t="s">
        <v>14</v>
      </c>
      <c r="I180" s="2">
        <v>5828</v>
      </c>
      <c r="J180" s="2">
        <v>7658672</v>
      </c>
      <c r="K180" s="3"/>
    </row>
    <row r="181" spans="2:11" ht="28.2" thickBot="1" x14ac:dyDescent="0.35">
      <c r="B181" s="2" t="s">
        <v>70</v>
      </c>
      <c r="C181" s="2" t="s">
        <v>10</v>
      </c>
      <c r="D181" s="2" t="s">
        <v>66</v>
      </c>
      <c r="E181" s="2" t="s">
        <v>26</v>
      </c>
      <c r="F181" s="2" t="s">
        <v>72</v>
      </c>
      <c r="G181" s="2" t="s">
        <v>28</v>
      </c>
      <c r="H181" s="2" t="s">
        <v>14</v>
      </c>
      <c r="I181" s="2">
        <v>5848</v>
      </c>
      <c r="J181" s="2">
        <v>2875698</v>
      </c>
      <c r="K181" s="3"/>
    </row>
    <row r="182" spans="2:11" ht="16.2" thickBot="1" x14ac:dyDescent="0.35">
      <c r="B182" s="2" t="s">
        <v>9</v>
      </c>
      <c r="C182" s="2" t="s">
        <v>10</v>
      </c>
      <c r="D182" s="2" t="s">
        <v>11</v>
      </c>
      <c r="E182" s="2" t="s">
        <v>12</v>
      </c>
      <c r="F182" s="2" t="s">
        <v>13</v>
      </c>
      <c r="G182" s="2" t="s">
        <v>13</v>
      </c>
      <c r="H182" s="2" t="s">
        <v>14</v>
      </c>
      <c r="I182" s="2">
        <v>5788</v>
      </c>
      <c r="J182" s="2">
        <v>2153250</v>
      </c>
      <c r="K182" s="3"/>
    </row>
    <row r="183" spans="2:11" ht="42" thickBot="1" x14ac:dyDescent="0.35">
      <c r="B183" s="2" t="s">
        <v>15</v>
      </c>
      <c r="C183" s="2" t="s">
        <v>10</v>
      </c>
      <c r="D183" s="2" t="s">
        <v>16</v>
      </c>
      <c r="E183" s="2" t="s">
        <v>17</v>
      </c>
      <c r="F183" s="2" t="s">
        <v>18</v>
      </c>
      <c r="G183" s="2" t="s">
        <v>19</v>
      </c>
      <c r="H183" s="2" t="s">
        <v>14</v>
      </c>
      <c r="I183" s="2">
        <v>5808</v>
      </c>
      <c r="J183" s="2">
        <v>1041243</v>
      </c>
      <c r="K183" s="3"/>
    </row>
    <row r="184" spans="2:11" ht="28.2" thickBot="1" x14ac:dyDescent="0.35">
      <c r="B184" s="2" t="s">
        <v>20</v>
      </c>
      <c r="C184" s="2" t="s">
        <v>10</v>
      </c>
      <c r="D184" s="2" t="s">
        <v>21</v>
      </c>
      <c r="E184" s="2" t="s">
        <v>22</v>
      </c>
      <c r="F184" s="2" t="s">
        <v>23</v>
      </c>
      <c r="G184" s="2" t="s">
        <v>24</v>
      </c>
      <c r="H184" s="2" t="s">
        <v>14</v>
      </c>
      <c r="I184" s="2">
        <v>5828</v>
      </c>
      <c r="J184" s="2">
        <v>4023144</v>
      </c>
      <c r="K184" s="3"/>
    </row>
    <row r="185" spans="2:11" ht="16.2" thickBot="1" x14ac:dyDescent="0.35">
      <c r="B185" s="2" t="s">
        <v>25</v>
      </c>
      <c r="C185" s="2" t="s">
        <v>10</v>
      </c>
      <c r="D185" s="2" t="s">
        <v>21</v>
      </c>
      <c r="E185" s="2" t="s">
        <v>26</v>
      </c>
      <c r="F185" s="2" t="s">
        <v>27</v>
      </c>
      <c r="G185" s="2" t="s">
        <v>28</v>
      </c>
      <c r="H185" s="2" t="s">
        <v>14</v>
      </c>
      <c r="I185" s="2">
        <v>5848</v>
      </c>
      <c r="J185" s="2">
        <v>5943795</v>
      </c>
      <c r="K185" s="3"/>
    </row>
    <row r="186" spans="2:11" ht="28.2" thickBot="1" x14ac:dyDescent="0.35">
      <c r="B186" s="2" t="s">
        <v>29</v>
      </c>
      <c r="C186" s="2" t="s">
        <v>30</v>
      </c>
      <c r="D186" s="2" t="s">
        <v>31</v>
      </c>
      <c r="E186" s="2" t="s">
        <v>26</v>
      </c>
      <c r="F186" s="2" t="s">
        <v>32</v>
      </c>
      <c r="G186" s="2" t="s">
        <v>33</v>
      </c>
      <c r="H186" s="2" t="s">
        <v>14</v>
      </c>
      <c r="I186" s="2">
        <v>5868</v>
      </c>
      <c r="J186" s="2">
        <v>2875190</v>
      </c>
      <c r="K186" s="3"/>
    </row>
    <row r="187" spans="2:11" ht="28.2" thickBot="1" x14ac:dyDescent="0.35">
      <c r="B187" s="2" t="s">
        <v>34</v>
      </c>
      <c r="C187" s="2" t="s">
        <v>30</v>
      </c>
      <c r="D187" s="2" t="s">
        <v>31</v>
      </c>
      <c r="E187" s="2" t="s">
        <v>26</v>
      </c>
      <c r="F187" s="2" t="s">
        <v>35</v>
      </c>
      <c r="G187" s="2" t="s">
        <v>36</v>
      </c>
      <c r="H187" s="2" t="s">
        <v>14</v>
      </c>
      <c r="I187" s="2">
        <v>5888</v>
      </c>
      <c r="J187" s="2">
        <v>3206472</v>
      </c>
      <c r="K187" s="3"/>
    </row>
    <row r="188" spans="2:11" ht="28.2" thickBot="1" x14ac:dyDescent="0.35">
      <c r="B188" s="2" t="s">
        <v>37</v>
      </c>
      <c r="C188" s="2" t="s">
        <v>30</v>
      </c>
      <c r="D188" s="2" t="s">
        <v>74</v>
      </c>
      <c r="E188" s="2" t="s">
        <v>17</v>
      </c>
      <c r="F188" s="2" t="s">
        <v>38</v>
      </c>
      <c r="G188" s="2" t="s">
        <v>39</v>
      </c>
      <c r="H188" s="2" t="s">
        <v>14</v>
      </c>
      <c r="I188" s="2">
        <v>5908</v>
      </c>
      <c r="J188" s="2">
        <v>2508280</v>
      </c>
      <c r="K188" s="3"/>
    </row>
    <row r="189" spans="2:11" ht="28.2" thickBot="1" x14ac:dyDescent="0.35">
      <c r="B189" s="2" t="s">
        <v>40</v>
      </c>
      <c r="C189" s="2" t="s">
        <v>30</v>
      </c>
      <c r="D189" s="2" t="s">
        <v>31</v>
      </c>
      <c r="E189" s="2" t="s">
        <v>17</v>
      </c>
      <c r="F189" s="2" t="s">
        <v>41</v>
      </c>
      <c r="G189" s="2" t="s">
        <v>19</v>
      </c>
      <c r="H189" s="2" t="s">
        <v>14</v>
      </c>
      <c r="I189" s="2">
        <v>5928</v>
      </c>
      <c r="J189" s="2">
        <v>1558518</v>
      </c>
      <c r="K189" s="3"/>
    </row>
    <row r="190" spans="2:11" ht="28.2" thickBot="1" x14ac:dyDescent="0.35">
      <c r="B190" s="2" t="s">
        <v>42</v>
      </c>
      <c r="C190" s="2" t="s">
        <v>10</v>
      </c>
      <c r="D190" s="2" t="s">
        <v>11</v>
      </c>
      <c r="E190" s="2" t="s">
        <v>12</v>
      </c>
      <c r="F190" s="2" t="s">
        <v>43</v>
      </c>
      <c r="G190" s="2" t="s">
        <v>44</v>
      </c>
      <c r="H190" s="2" t="s">
        <v>45</v>
      </c>
      <c r="I190" s="2">
        <v>5948</v>
      </c>
      <c r="J190" s="2">
        <v>970722</v>
      </c>
      <c r="K190" s="3"/>
    </row>
    <row r="191" spans="2:11" ht="28.2" thickBot="1" x14ac:dyDescent="0.35">
      <c r="B191" s="2" t="s">
        <v>46</v>
      </c>
      <c r="C191" s="2" t="s">
        <v>10</v>
      </c>
      <c r="D191" s="2" t="s">
        <v>11</v>
      </c>
      <c r="E191" s="2" t="s">
        <v>17</v>
      </c>
      <c r="F191" s="2" t="s">
        <v>47</v>
      </c>
      <c r="G191" s="2" t="s">
        <v>39</v>
      </c>
      <c r="H191" s="2" t="s">
        <v>45</v>
      </c>
      <c r="I191" s="2">
        <v>5967</v>
      </c>
      <c r="J191" s="2">
        <v>2739720</v>
      </c>
      <c r="K191" s="3"/>
    </row>
    <row r="192" spans="2:11" ht="28.2" thickBot="1" x14ac:dyDescent="0.35">
      <c r="B192" s="2" t="s">
        <v>48</v>
      </c>
      <c r="C192" s="2" t="s">
        <v>10</v>
      </c>
      <c r="D192" s="2" t="s">
        <v>11</v>
      </c>
      <c r="E192" s="2" t="s">
        <v>75</v>
      </c>
      <c r="F192" s="2" t="s">
        <v>49</v>
      </c>
      <c r="G192" s="2" t="s">
        <v>50</v>
      </c>
      <c r="H192" s="2" t="s">
        <v>45</v>
      </c>
      <c r="I192" s="2">
        <v>5987</v>
      </c>
      <c r="J192" s="2">
        <v>2385175</v>
      </c>
      <c r="K192" s="3"/>
    </row>
    <row r="193" spans="2:11" ht="28.2" thickBot="1" x14ac:dyDescent="0.35">
      <c r="B193" s="2" t="s">
        <v>51</v>
      </c>
      <c r="C193" s="2" t="s">
        <v>10</v>
      </c>
      <c r="D193" s="2" t="s">
        <v>11</v>
      </c>
      <c r="E193" s="2" t="s">
        <v>12</v>
      </c>
      <c r="F193" s="2" t="s">
        <v>52</v>
      </c>
      <c r="G193" s="2" t="s">
        <v>50</v>
      </c>
      <c r="H193" s="2" t="s">
        <v>45</v>
      </c>
      <c r="I193" s="2">
        <v>6007</v>
      </c>
      <c r="J193" s="2">
        <v>3184340</v>
      </c>
      <c r="K193" s="3"/>
    </row>
    <row r="194" spans="2:11" ht="28.2" thickBot="1" x14ac:dyDescent="0.35">
      <c r="B194" s="2" t="s">
        <v>53</v>
      </c>
      <c r="C194" s="2" t="s">
        <v>10</v>
      </c>
      <c r="D194" s="2" t="s">
        <v>54</v>
      </c>
      <c r="E194" s="2" t="s">
        <v>17</v>
      </c>
      <c r="F194" s="2" t="s">
        <v>55</v>
      </c>
      <c r="G194" s="2" t="s">
        <v>19</v>
      </c>
      <c r="H194" s="2" t="s">
        <v>45</v>
      </c>
      <c r="I194" s="2">
        <v>6027</v>
      </c>
      <c r="J194" s="2">
        <v>3035136</v>
      </c>
      <c r="K194" s="3"/>
    </row>
    <row r="195" spans="2:11" ht="28.2" thickBot="1" x14ac:dyDescent="0.35">
      <c r="B195" s="2" t="s">
        <v>56</v>
      </c>
      <c r="C195" s="2" t="s">
        <v>10</v>
      </c>
      <c r="D195" s="2" t="s">
        <v>11</v>
      </c>
      <c r="E195" s="2" t="s">
        <v>57</v>
      </c>
      <c r="F195" s="2" t="s">
        <v>58</v>
      </c>
      <c r="G195" s="2" t="s">
        <v>59</v>
      </c>
      <c r="H195" s="2" t="s">
        <v>45</v>
      </c>
      <c r="I195" s="2">
        <v>6047</v>
      </c>
      <c r="J195" s="2">
        <v>5413860</v>
      </c>
      <c r="K195" s="3"/>
    </row>
    <row r="196" spans="2:11" ht="28.2" thickBot="1" x14ac:dyDescent="0.35">
      <c r="B196" s="2" t="s">
        <v>60</v>
      </c>
      <c r="C196" s="2" t="s">
        <v>30</v>
      </c>
      <c r="D196" s="2" t="s">
        <v>61</v>
      </c>
      <c r="E196" s="2" t="s">
        <v>17</v>
      </c>
      <c r="F196" s="2" t="s">
        <v>62</v>
      </c>
      <c r="G196" s="2" t="s">
        <v>39</v>
      </c>
      <c r="H196" s="2" t="s">
        <v>14</v>
      </c>
      <c r="I196" s="2">
        <v>6067</v>
      </c>
      <c r="J196" s="2">
        <v>5897286</v>
      </c>
      <c r="K196" s="3"/>
    </row>
    <row r="197" spans="2:11" ht="28.2" thickBot="1" x14ac:dyDescent="0.35">
      <c r="B197" s="2" t="s">
        <v>63</v>
      </c>
      <c r="C197" s="2" t="s">
        <v>30</v>
      </c>
      <c r="D197" s="2" t="s">
        <v>61</v>
      </c>
      <c r="E197" s="2" t="s">
        <v>12</v>
      </c>
      <c r="F197" s="2" t="s">
        <v>64</v>
      </c>
      <c r="G197" s="2" t="s">
        <v>50</v>
      </c>
      <c r="H197" s="2" t="s">
        <v>14</v>
      </c>
      <c r="I197" s="2">
        <v>6087</v>
      </c>
      <c r="J197" s="2">
        <v>1607336</v>
      </c>
      <c r="K197" s="3"/>
    </row>
    <row r="198" spans="2:11" ht="28.2" thickBot="1" x14ac:dyDescent="0.35">
      <c r="B198" s="2" t="s">
        <v>65</v>
      </c>
      <c r="C198" s="2" t="s">
        <v>10</v>
      </c>
      <c r="D198" s="2" t="s">
        <v>66</v>
      </c>
      <c r="E198" s="2" t="s">
        <v>12</v>
      </c>
      <c r="F198" s="2" t="s">
        <v>67</v>
      </c>
      <c r="G198" s="2" t="s">
        <v>50</v>
      </c>
      <c r="H198" s="2" t="s">
        <v>14</v>
      </c>
      <c r="I198" s="2">
        <v>6107</v>
      </c>
      <c r="J198" s="2">
        <v>7366833</v>
      </c>
      <c r="K198" s="3"/>
    </row>
    <row r="199" spans="2:11" ht="28.2" thickBot="1" x14ac:dyDescent="0.35">
      <c r="B199" s="2" t="s">
        <v>76</v>
      </c>
      <c r="C199" s="2" t="s">
        <v>10</v>
      </c>
      <c r="D199" s="2" t="s">
        <v>11</v>
      </c>
      <c r="E199" s="2" t="s">
        <v>77</v>
      </c>
      <c r="F199" s="2" t="s">
        <v>78</v>
      </c>
      <c r="G199" s="2" t="s">
        <v>79</v>
      </c>
      <c r="H199" s="2" t="s">
        <v>14</v>
      </c>
      <c r="I199" s="2">
        <v>6331</v>
      </c>
      <c r="J199" s="2">
        <v>2103304</v>
      </c>
      <c r="K199" s="3"/>
    </row>
    <row r="200" spans="2:11" ht="28.2" thickBot="1" x14ac:dyDescent="0.35">
      <c r="B200" s="2" t="s">
        <v>80</v>
      </c>
      <c r="C200" s="2" t="s">
        <v>10</v>
      </c>
      <c r="D200" s="2" t="s">
        <v>11</v>
      </c>
      <c r="E200" s="2" t="s">
        <v>12</v>
      </c>
      <c r="F200" s="2" t="s">
        <v>81</v>
      </c>
      <c r="G200" s="2" t="s">
        <v>82</v>
      </c>
      <c r="H200" s="2" t="s">
        <v>14</v>
      </c>
      <c r="I200" s="2">
        <v>5511</v>
      </c>
      <c r="J200" s="2">
        <v>3097165</v>
      </c>
      <c r="K200" s="3"/>
    </row>
    <row r="201" spans="2:11" ht="28.2" thickBot="1" x14ac:dyDescent="0.35">
      <c r="B201" s="2" t="s">
        <v>83</v>
      </c>
      <c r="C201" s="2" t="s">
        <v>10</v>
      </c>
      <c r="D201" s="2" t="s">
        <v>11</v>
      </c>
      <c r="E201" s="2" t="s">
        <v>57</v>
      </c>
      <c r="F201" s="2" t="s">
        <v>84</v>
      </c>
      <c r="G201" s="2" t="s">
        <v>85</v>
      </c>
      <c r="H201" s="2" t="s">
        <v>14</v>
      </c>
      <c r="I201" s="2">
        <v>7070</v>
      </c>
      <c r="J201" s="2">
        <v>5859720</v>
      </c>
      <c r="K201" s="3"/>
    </row>
    <row r="202" spans="2:11" ht="28.2" thickBot="1" x14ac:dyDescent="0.35">
      <c r="B202" s="2" t="s">
        <v>86</v>
      </c>
      <c r="C202" s="2" t="s">
        <v>10</v>
      </c>
      <c r="D202" s="2" t="s">
        <v>11</v>
      </c>
      <c r="E202" s="2" t="s">
        <v>22</v>
      </c>
      <c r="F202" s="2" t="s">
        <v>87</v>
      </c>
      <c r="G202" s="2" t="s">
        <v>24</v>
      </c>
      <c r="H202" s="2" t="s">
        <v>73</v>
      </c>
      <c r="I202" s="2">
        <v>4761</v>
      </c>
      <c r="J202" s="2">
        <v>1988600</v>
      </c>
      <c r="K202" s="3"/>
    </row>
    <row r="203" spans="2:11" ht="28.2" thickBot="1" x14ac:dyDescent="0.35">
      <c r="B203" s="2" t="s">
        <v>88</v>
      </c>
      <c r="C203" s="2" t="s">
        <v>10</v>
      </c>
      <c r="D203" s="2" t="s">
        <v>11</v>
      </c>
      <c r="E203" s="2" t="s">
        <v>22</v>
      </c>
      <c r="F203" s="2" t="s">
        <v>23</v>
      </c>
      <c r="G203" s="2" t="s">
        <v>24</v>
      </c>
      <c r="H203" s="2" t="s">
        <v>45</v>
      </c>
      <c r="I203" s="2">
        <v>8127</v>
      </c>
      <c r="J203" s="2">
        <v>4124160</v>
      </c>
      <c r="K203" s="3"/>
    </row>
    <row r="204" spans="2:11" ht="28.2" thickBot="1" x14ac:dyDescent="0.35">
      <c r="B204" s="2" t="s">
        <v>89</v>
      </c>
      <c r="C204" s="2" t="s">
        <v>10</v>
      </c>
      <c r="D204" s="2" t="s">
        <v>11</v>
      </c>
      <c r="E204" s="2" t="s">
        <v>57</v>
      </c>
      <c r="F204" s="2" t="s">
        <v>90</v>
      </c>
      <c r="G204" s="2" t="s">
        <v>59</v>
      </c>
      <c r="H204" s="2" t="s">
        <v>45</v>
      </c>
      <c r="I204" s="2">
        <v>7794</v>
      </c>
      <c r="J204" s="2">
        <v>6667920</v>
      </c>
      <c r="K204" s="3"/>
    </row>
    <row r="205" spans="2:11" ht="28.2" thickBot="1" x14ac:dyDescent="0.35">
      <c r="B205" s="2" t="s">
        <v>91</v>
      </c>
      <c r="C205" s="2" t="s">
        <v>30</v>
      </c>
      <c r="D205" s="2" t="s">
        <v>61</v>
      </c>
      <c r="E205" s="2" t="s">
        <v>22</v>
      </c>
      <c r="F205" s="2" t="s">
        <v>92</v>
      </c>
      <c r="G205" s="2" t="s">
        <v>93</v>
      </c>
      <c r="H205" s="2" t="s">
        <v>45</v>
      </c>
      <c r="I205" s="2">
        <v>7427</v>
      </c>
      <c r="J205" s="2">
        <v>3627663</v>
      </c>
      <c r="K205" s="3"/>
    </row>
    <row r="206" spans="2:11" ht="28.2" thickBot="1" x14ac:dyDescent="0.35">
      <c r="B206" s="2" t="s">
        <v>94</v>
      </c>
      <c r="C206" s="2" t="s">
        <v>30</v>
      </c>
      <c r="D206" s="2" t="s">
        <v>61</v>
      </c>
      <c r="E206" s="2" t="s">
        <v>22</v>
      </c>
      <c r="F206" s="2" t="s">
        <v>95</v>
      </c>
      <c r="G206" s="2" t="s">
        <v>24</v>
      </c>
      <c r="H206" s="2" t="s">
        <v>45</v>
      </c>
      <c r="I206" s="2">
        <v>1929</v>
      </c>
      <c r="J206" s="2">
        <v>4585152</v>
      </c>
      <c r="K206" s="3"/>
    </row>
    <row r="207" spans="2:11" ht="28.2" thickBot="1" x14ac:dyDescent="0.35">
      <c r="B207" s="2" t="s">
        <v>96</v>
      </c>
      <c r="C207" s="2" t="s">
        <v>30</v>
      </c>
      <c r="D207" s="2" t="s">
        <v>61</v>
      </c>
      <c r="E207" s="2" t="s">
        <v>26</v>
      </c>
      <c r="F207" s="2" t="s">
        <v>97</v>
      </c>
      <c r="G207" s="2" t="s">
        <v>33</v>
      </c>
      <c r="H207" s="2" t="s">
        <v>45</v>
      </c>
      <c r="I207" s="2">
        <v>5142</v>
      </c>
      <c r="J207" s="2">
        <v>6334720</v>
      </c>
      <c r="K207" s="3"/>
    </row>
    <row r="208" spans="2:11" ht="28.2" thickBot="1" x14ac:dyDescent="0.35">
      <c r="B208" s="2" t="s">
        <v>98</v>
      </c>
      <c r="C208" s="2" t="s">
        <v>30</v>
      </c>
      <c r="D208" s="2" t="s">
        <v>61</v>
      </c>
      <c r="E208" s="2" t="s">
        <v>12</v>
      </c>
      <c r="F208" s="2" t="s">
        <v>13</v>
      </c>
      <c r="G208" s="2" t="s">
        <v>13</v>
      </c>
      <c r="H208" s="2" t="s">
        <v>45</v>
      </c>
      <c r="I208" s="2">
        <v>6102</v>
      </c>
      <c r="J208" s="2">
        <v>3899259</v>
      </c>
      <c r="K208" s="3"/>
    </row>
    <row r="209" spans="2:11" ht="28.2" thickBot="1" x14ac:dyDescent="0.35">
      <c r="B209" s="2" t="s">
        <v>99</v>
      </c>
      <c r="C209" s="2" t="s">
        <v>30</v>
      </c>
      <c r="D209" s="2" t="s">
        <v>61</v>
      </c>
      <c r="E209" s="2" t="s">
        <v>17</v>
      </c>
      <c r="F209" s="2" t="s">
        <v>18</v>
      </c>
      <c r="G209" s="2" t="s">
        <v>19</v>
      </c>
      <c r="H209" s="2" t="s">
        <v>45</v>
      </c>
      <c r="I209" s="2">
        <v>8613</v>
      </c>
      <c r="J209" s="2">
        <v>7769412</v>
      </c>
      <c r="K209" s="3"/>
    </row>
    <row r="210" spans="2:11" ht="28.2" thickBot="1" x14ac:dyDescent="0.35">
      <c r="B210" s="2" t="s">
        <v>100</v>
      </c>
      <c r="C210" s="2" t="s">
        <v>30</v>
      </c>
      <c r="D210" s="2" t="s">
        <v>61</v>
      </c>
      <c r="E210" s="2" t="s">
        <v>22</v>
      </c>
      <c r="F210" s="2" t="s">
        <v>23</v>
      </c>
      <c r="G210" s="2" t="s">
        <v>24</v>
      </c>
      <c r="H210" s="2" t="s">
        <v>45</v>
      </c>
      <c r="I210" s="2">
        <v>1735</v>
      </c>
      <c r="J210" s="2">
        <v>4107438</v>
      </c>
      <c r="K210" s="3"/>
    </row>
    <row r="211" spans="2:11" ht="28.2" thickBot="1" x14ac:dyDescent="0.35">
      <c r="B211" s="2" t="s">
        <v>101</v>
      </c>
      <c r="C211" s="2" t="s">
        <v>30</v>
      </c>
      <c r="D211" s="2" t="s">
        <v>61</v>
      </c>
      <c r="E211" s="2" t="s">
        <v>26</v>
      </c>
      <c r="F211" s="2" t="s">
        <v>27</v>
      </c>
      <c r="G211" s="2" t="s">
        <v>28</v>
      </c>
      <c r="H211" s="2" t="s">
        <v>45</v>
      </c>
      <c r="I211" s="2">
        <v>4013</v>
      </c>
      <c r="J211" s="2">
        <v>4485908</v>
      </c>
      <c r="K211" s="3"/>
    </row>
    <row r="212" spans="2:11" ht="28.2" thickBot="1" x14ac:dyDescent="0.35">
      <c r="B212" s="2" t="s">
        <v>102</v>
      </c>
      <c r="C212" s="2" t="s">
        <v>10</v>
      </c>
      <c r="D212" s="2" t="s">
        <v>66</v>
      </c>
      <c r="E212" s="2" t="s">
        <v>26</v>
      </c>
      <c r="F212" s="2" t="s">
        <v>32</v>
      </c>
      <c r="G212" s="2" t="s">
        <v>33</v>
      </c>
      <c r="H212" s="2" t="s">
        <v>14</v>
      </c>
      <c r="I212" s="2">
        <v>1882</v>
      </c>
      <c r="J212" s="2">
        <v>1093743</v>
      </c>
      <c r="K212" s="3"/>
    </row>
    <row r="213" spans="2:11" ht="28.2" thickBot="1" x14ac:dyDescent="0.35">
      <c r="B213" s="2" t="s">
        <v>103</v>
      </c>
      <c r="C213" s="2" t="s">
        <v>10</v>
      </c>
      <c r="D213" s="2" t="s">
        <v>66</v>
      </c>
      <c r="E213" s="2" t="s">
        <v>26</v>
      </c>
      <c r="F213" s="2" t="s">
        <v>35</v>
      </c>
      <c r="G213" s="2" t="s">
        <v>36</v>
      </c>
      <c r="H213" s="2" t="s">
        <v>14</v>
      </c>
      <c r="I213" s="2">
        <v>3794</v>
      </c>
      <c r="J213" s="2">
        <v>2642988</v>
      </c>
      <c r="K213" s="3"/>
    </row>
    <row r="214" spans="2:11" ht="28.2" thickBot="1" x14ac:dyDescent="0.35">
      <c r="B214" s="2" t="s">
        <v>104</v>
      </c>
      <c r="C214" s="2" t="s">
        <v>10</v>
      </c>
      <c r="D214" s="2" t="s">
        <v>66</v>
      </c>
      <c r="E214" s="2" t="s">
        <v>17</v>
      </c>
      <c r="F214" s="2" t="s">
        <v>38</v>
      </c>
      <c r="G214" s="2" t="s">
        <v>39</v>
      </c>
      <c r="H214" s="2" t="s">
        <v>14</v>
      </c>
      <c r="I214" s="2">
        <v>2105</v>
      </c>
      <c r="J214" s="2">
        <v>6040980</v>
      </c>
      <c r="K214" s="3"/>
    </row>
    <row r="215" spans="2:11" ht="28.2" thickBot="1" x14ac:dyDescent="0.35">
      <c r="B215" s="2" t="s">
        <v>105</v>
      </c>
      <c r="C215" s="2" t="s">
        <v>10</v>
      </c>
      <c r="D215" s="2" t="s">
        <v>66</v>
      </c>
      <c r="E215" s="2" t="s">
        <v>17</v>
      </c>
      <c r="F215" s="2" t="s">
        <v>41</v>
      </c>
      <c r="G215" s="2" t="s">
        <v>19</v>
      </c>
      <c r="H215" s="2" t="s">
        <v>14</v>
      </c>
      <c r="I215" s="2">
        <v>7654</v>
      </c>
      <c r="J215" s="2">
        <v>6855948</v>
      </c>
      <c r="K215" s="3"/>
    </row>
    <row r="216" spans="2:11" ht="16.2" thickBot="1" x14ac:dyDescent="0.35">
      <c r="B216" s="2" t="s">
        <v>106</v>
      </c>
      <c r="C216" s="2" t="s">
        <v>10</v>
      </c>
      <c r="D216" s="2" t="s">
        <v>66</v>
      </c>
      <c r="E216" s="2" t="s">
        <v>12</v>
      </c>
      <c r="F216" s="2" t="s">
        <v>43</v>
      </c>
      <c r="G216" s="2" t="s">
        <v>44</v>
      </c>
      <c r="H216" s="2" t="s">
        <v>14</v>
      </c>
      <c r="I216" s="2">
        <v>9045</v>
      </c>
      <c r="J216" s="2">
        <v>1243995</v>
      </c>
      <c r="K216" s="3"/>
    </row>
    <row r="217" spans="2:11" ht="28.2" thickBot="1" x14ac:dyDescent="0.35">
      <c r="B217" s="2" t="s">
        <v>107</v>
      </c>
      <c r="C217" s="2" t="s">
        <v>10</v>
      </c>
      <c r="D217" s="2" t="s">
        <v>66</v>
      </c>
      <c r="E217" s="2" t="s">
        <v>17</v>
      </c>
      <c r="F217" s="2" t="s">
        <v>47</v>
      </c>
      <c r="G217" s="2" t="s">
        <v>39</v>
      </c>
      <c r="H217" s="2" t="s">
        <v>45</v>
      </c>
      <c r="I217" s="2">
        <v>2088</v>
      </c>
      <c r="J217" s="2">
        <v>3282634</v>
      </c>
      <c r="K217" s="3"/>
    </row>
    <row r="218" spans="2:11" ht="28.2" thickBot="1" x14ac:dyDescent="0.35">
      <c r="B218" s="2" t="s">
        <v>108</v>
      </c>
      <c r="C218" s="2" t="s">
        <v>10</v>
      </c>
      <c r="D218" s="2" t="s">
        <v>66</v>
      </c>
      <c r="E218" s="2" t="s">
        <v>12</v>
      </c>
      <c r="F218" s="2" t="s">
        <v>49</v>
      </c>
      <c r="G218" s="2" t="s">
        <v>50</v>
      </c>
      <c r="H218" s="2" t="s">
        <v>45</v>
      </c>
      <c r="I218" s="2">
        <v>3793</v>
      </c>
      <c r="J218" s="2">
        <v>1053920</v>
      </c>
      <c r="K218" s="3"/>
    </row>
    <row r="219" spans="2:11" ht="28.2" thickBot="1" x14ac:dyDescent="0.35">
      <c r="B219" s="2" t="s">
        <v>109</v>
      </c>
      <c r="C219" s="2" t="s">
        <v>10</v>
      </c>
      <c r="D219" s="2" t="s">
        <v>66</v>
      </c>
      <c r="E219" s="2" t="s">
        <v>12</v>
      </c>
      <c r="F219" s="2" t="s">
        <v>52</v>
      </c>
      <c r="G219" s="2" t="s">
        <v>50</v>
      </c>
      <c r="H219" s="2" t="s">
        <v>45</v>
      </c>
      <c r="I219" s="2">
        <v>6566</v>
      </c>
      <c r="J219" s="2">
        <v>2784796</v>
      </c>
      <c r="K219" s="3"/>
    </row>
    <row r="220" spans="2:11" ht="28.2" thickBot="1" x14ac:dyDescent="0.35">
      <c r="B220" s="2" t="s">
        <v>110</v>
      </c>
      <c r="C220" s="2" t="s">
        <v>10</v>
      </c>
      <c r="D220" s="2" t="s">
        <v>66</v>
      </c>
      <c r="E220" s="2" t="s">
        <v>17</v>
      </c>
      <c r="F220" s="2" t="s">
        <v>55</v>
      </c>
      <c r="G220" s="2" t="s">
        <v>19</v>
      </c>
      <c r="H220" s="2" t="s">
        <v>14</v>
      </c>
      <c r="I220" s="2">
        <v>5152</v>
      </c>
      <c r="J220" s="2">
        <v>2065005</v>
      </c>
      <c r="K220" s="3"/>
    </row>
    <row r="221" spans="2:11" ht="28.2" thickBot="1" x14ac:dyDescent="0.35">
      <c r="B221" s="2" t="s">
        <v>111</v>
      </c>
      <c r="C221" s="2" t="s">
        <v>10</v>
      </c>
      <c r="D221" s="2" t="s">
        <v>66</v>
      </c>
      <c r="E221" s="2" t="s">
        <v>57</v>
      </c>
      <c r="F221" s="2" t="s">
        <v>58</v>
      </c>
      <c r="G221" s="2" t="s">
        <v>59</v>
      </c>
      <c r="H221" s="2" t="s">
        <v>14</v>
      </c>
      <c r="I221" s="2">
        <v>2714</v>
      </c>
      <c r="J221" s="2">
        <v>6743174</v>
      </c>
      <c r="K221" s="3"/>
    </row>
    <row r="222" spans="2:11" ht="28.2" thickBot="1" x14ac:dyDescent="0.35">
      <c r="B222" s="2" t="s">
        <v>112</v>
      </c>
      <c r="C222" s="2" t="s">
        <v>10</v>
      </c>
      <c r="D222" s="2" t="s">
        <v>66</v>
      </c>
      <c r="E222" s="2" t="s">
        <v>17</v>
      </c>
      <c r="F222" s="2" t="s">
        <v>113</v>
      </c>
      <c r="G222" s="2" t="s">
        <v>19</v>
      </c>
      <c r="H222" s="2" t="s">
        <v>14</v>
      </c>
      <c r="I222" s="2">
        <v>7249</v>
      </c>
      <c r="J222" s="2">
        <v>4920480</v>
      </c>
      <c r="K222" s="3"/>
    </row>
    <row r="223" spans="2:11" ht="28.2" thickBot="1" x14ac:dyDescent="0.35">
      <c r="B223" s="2" t="s">
        <v>114</v>
      </c>
      <c r="C223" s="2" t="s">
        <v>10</v>
      </c>
      <c r="D223" s="2" t="s">
        <v>66</v>
      </c>
      <c r="E223" s="2" t="s">
        <v>115</v>
      </c>
      <c r="F223" s="2" t="s">
        <v>116</v>
      </c>
      <c r="G223" s="2" t="s">
        <v>116</v>
      </c>
      <c r="H223" s="2" t="s">
        <v>14</v>
      </c>
      <c r="I223" s="2">
        <v>7924</v>
      </c>
      <c r="J223" s="2">
        <v>1415664</v>
      </c>
      <c r="K223" s="3"/>
    </row>
    <row r="224" spans="2:11" ht="28.2" thickBot="1" x14ac:dyDescent="0.35">
      <c r="B224" s="2" t="s">
        <v>117</v>
      </c>
      <c r="C224" s="2" t="s">
        <v>10</v>
      </c>
      <c r="D224" s="2" t="s">
        <v>66</v>
      </c>
      <c r="E224" s="2" t="s">
        <v>57</v>
      </c>
      <c r="F224" s="2" t="s">
        <v>118</v>
      </c>
      <c r="G224" s="2" t="s">
        <v>59</v>
      </c>
      <c r="H224" s="2" t="s">
        <v>14</v>
      </c>
      <c r="I224" s="2">
        <v>6728</v>
      </c>
      <c r="J224" s="2">
        <v>2492001</v>
      </c>
      <c r="K224" s="3"/>
    </row>
    <row r="225" spans="2:11" ht="28.2" thickBot="1" x14ac:dyDescent="0.35">
      <c r="B225" s="2" t="s">
        <v>119</v>
      </c>
      <c r="C225" s="2" t="s">
        <v>10</v>
      </c>
      <c r="D225" s="2" t="s">
        <v>66</v>
      </c>
      <c r="E225" s="2" t="s">
        <v>26</v>
      </c>
      <c r="F225" s="2" t="s">
        <v>120</v>
      </c>
      <c r="G225" s="2" t="s">
        <v>121</v>
      </c>
      <c r="H225" s="2" t="s">
        <v>45</v>
      </c>
      <c r="I225" s="2">
        <v>6384</v>
      </c>
      <c r="J225" s="2">
        <v>4425484</v>
      </c>
      <c r="K225" s="3"/>
    </row>
    <row r="226" spans="2:11" ht="16.2" thickBot="1" x14ac:dyDescent="0.35">
      <c r="B226" s="2" t="s">
        <v>122</v>
      </c>
      <c r="C226" s="2" t="s">
        <v>10</v>
      </c>
      <c r="D226" s="2" t="s">
        <v>66</v>
      </c>
      <c r="E226" s="2" t="s">
        <v>22</v>
      </c>
      <c r="F226" s="2" t="s">
        <v>123</v>
      </c>
      <c r="G226" s="2" t="s">
        <v>124</v>
      </c>
      <c r="H226" s="2" t="s">
        <v>45</v>
      </c>
      <c r="I226" s="2">
        <v>3372</v>
      </c>
      <c r="J226" s="2">
        <v>3915520</v>
      </c>
      <c r="K226" s="3"/>
    </row>
    <row r="227" spans="2:11" ht="28.2" thickBot="1" x14ac:dyDescent="0.35">
      <c r="B227" s="2" t="s">
        <v>125</v>
      </c>
      <c r="C227" s="2" t="s">
        <v>10</v>
      </c>
      <c r="D227" s="2" t="s">
        <v>126</v>
      </c>
      <c r="E227" s="2" t="s">
        <v>17</v>
      </c>
      <c r="F227" s="2" t="s">
        <v>62</v>
      </c>
      <c r="G227" s="2" t="s">
        <v>39</v>
      </c>
      <c r="H227" s="2" t="s">
        <v>45</v>
      </c>
      <c r="I227" s="2">
        <v>1817</v>
      </c>
      <c r="J227" s="2">
        <v>1647398</v>
      </c>
      <c r="K227" s="3"/>
    </row>
    <row r="228" spans="2:11" ht="28.2" thickBot="1" x14ac:dyDescent="0.35">
      <c r="B228" s="2" t="s">
        <v>127</v>
      </c>
      <c r="C228" s="2" t="s">
        <v>10</v>
      </c>
      <c r="D228" s="2" t="s">
        <v>126</v>
      </c>
      <c r="E228" s="2" t="s">
        <v>12</v>
      </c>
      <c r="F228" s="2" t="s">
        <v>64</v>
      </c>
      <c r="G228" s="2" t="s">
        <v>50</v>
      </c>
      <c r="H228" s="2" t="s">
        <v>45</v>
      </c>
      <c r="I228" s="2">
        <v>3910</v>
      </c>
      <c r="J228" s="2">
        <v>4675605</v>
      </c>
      <c r="K228" s="3"/>
    </row>
    <row r="229" spans="2:11" ht="28.2" thickBot="1" x14ac:dyDescent="0.35">
      <c r="B229" s="2" t="s">
        <v>128</v>
      </c>
      <c r="C229" s="2" t="s">
        <v>10</v>
      </c>
      <c r="D229" s="2" t="s">
        <v>126</v>
      </c>
      <c r="E229" s="2" t="s">
        <v>12</v>
      </c>
      <c r="F229" s="2" t="s">
        <v>67</v>
      </c>
      <c r="G229" s="2" t="s">
        <v>50</v>
      </c>
      <c r="H229" s="2" t="s">
        <v>45</v>
      </c>
      <c r="I229" s="2">
        <v>9238</v>
      </c>
      <c r="J229" s="2">
        <v>6775020</v>
      </c>
      <c r="K229" s="3"/>
    </row>
    <row r="230" spans="2:11" ht="28.2" thickBot="1" x14ac:dyDescent="0.35">
      <c r="B230" s="2" t="s">
        <v>129</v>
      </c>
      <c r="C230" s="2" t="s">
        <v>10</v>
      </c>
      <c r="D230" s="2" t="s">
        <v>126</v>
      </c>
      <c r="E230" s="2" t="s">
        <v>26</v>
      </c>
      <c r="F230" s="2" t="s">
        <v>69</v>
      </c>
      <c r="G230" s="2" t="s">
        <v>28</v>
      </c>
      <c r="H230" s="2" t="s">
        <v>45</v>
      </c>
      <c r="I230" s="2">
        <v>8891</v>
      </c>
      <c r="J230" s="2">
        <v>4716328</v>
      </c>
      <c r="K230" s="3"/>
    </row>
    <row r="231" spans="2:11" ht="16.2" thickBot="1" x14ac:dyDescent="0.35">
      <c r="B231" s="2" t="s">
        <v>130</v>
      </c>
      <c r="C231" s="2" t="s">
        <v>10</v>
      </c>
      <c r="D231" s="2" t="s">
        <v>126</v>
      </c>
      <c r="E231" s="2" t="s">
        <v>26</v>
      </c>
      <c r="F231" s="2" t="s">
        <v>72</v>
      </c>
      <c r="G231" s="2" t="s">
        <v>28</v>
      </c>
      <c r="H231" s="2" t="s">
        <v>45</v>
      </c>
      <c r="I231" s="2">
        <v>5367</v>
      </c>
      <c r="J231" s="2">
        <v>3670800</v>
      </c>
      <c r="K231" s="3"/>
    </row>
    <row r="232" spans="2:11" ht="28.2" thickBot="1" x14ac:dyDescent="0.35">
      <c r="B232" s="2" t="s">
        <v>131</v>
      </c>
      <c r="C232" s="2" t="s">
        <v>10</v>
      </c>
      <c r="D232" s="2" t="s">
        <v>126</v>
      </c>
      <c r="E232" s="2" t="s">
        <v>12</v>
      </c>
      <c r="F232" s="2" t="s">
        <v>132</v>
      </c>
      <c r="G232" s="2" t="s">
        <v>44</v>
      </c>
      <c r="H232" s="2" t="s">
        <v>14</v>
      </c>
      <c r="I232" s="2">
        <v>5733</v>
      </c>
      <c r="J232" s="2">
        <v>1797276</v>
      </c>
      <c r="K232" s="3"/>
    </row>
    <row r="233" spans="2:11" ht="28.2" thickBot="1" x14ac:dyDescent="0.35">
      <c r="B233" s="2" t="s">
        <v>133</v>
      </c>
      <c r="C233" s="2" t="s">
        <v>10</v>
      </c>
      <c r="D233" s="2" t="s">
        <v>126</v>
      </c>
      <c r="E233" s="2" t="s">
        <v>12</v>
      </c>
      <c r="F233" s="2" t="s">
        <v>134</v>
      </c>
      <c r="G233" s="2" t="s">
        <v>50</v>
      </c>
      <c r="H233" s="2" t="s">
        <v>14</v>
      </c>
      <c r="I233" s="2">
        <v>6120</v>
      </c>
      <c r="J233" s="2">
        <v>1117455</v>
      </c>
      <c r="K233" s="3"/>
    </row>
    <row r="234" spans="2:11" ht="28.2" thickBot="1" x14ac:dyDescent="0.35">
      <c r="B234" s="2" t="s">
        <v>135</v>
      </c>
      <c r="C234" s="2" t="s">
        <v>10</v>
      </c>
      <c r="D234" s="2" t="s">
        <v>126</v>
      </c>
      <c r="E234" s="2" t="s">
        <v>22</v>
      </c>
      <c r="F234" s="2" t="s">
        <v>136</v>
      </c>
      <c r="G234" s="2" t="s">
        <v>93</v>
      </c>
      <c r="H234" s="2" t="s">
        <v>14</v>
      </c>
      <c r="I234" s="2">
        <v>4560</v>
      </c>
      <c r="J234" s="2">
        <v>2037110</v>
      </c>
      <c r="K234" s="3"/>
    </row>
    <row r="235" spans="2:11" ht="16.2" thickBot="1" x14ac:dyDescent="0.35">
      <c r="B235" s="2" t="s">
        <v>137</v>
      </c>
      <c r="C235" s="2" t="s">
        <v>10</v>
      </c>
      <c r="D235" s="2" t="s">
        <v>126</v>
      </c>
      <c r="E235" s="2" t="s">
        <v>26</v>
      </c>
      <c r="F235" s="2" t="s">
        <v>138</v>
      </c>
      <c r="G235" s="2" t="s">
        <v>139</v>
      </c>
      <c r="H235" s="2" t="s">
        <v>14</v>
      </c>
      <c r="I235" s="2">
        <v>7880</v>
      </c>
      <c r="J235" s="2">
        <v>5819940</v>
      </c>
      <c r="K235" s="3"/>
    </row>
    <row r="236" spans="2:11" ht="28.2" thickBot="1" x14ac:dyDescent="0.35">
      <c r="B236" s="2" t="s">
        <v>140</v>
      </c>
      <c r="C236" s="2" t="s">
        <v>10</v>
      </c>
      <c r="D236" s="2" t="s">
        <v>126</v>
      </c>
      <c r="E236" s="2" t="s">
        <v>17</v>
      </c>
      <c r="F236" s="2" t="s">
        <v>141</v>
      </c>
      <c r="G236" s="2" t="s">
        <v>19</v>
      </c>
      <c r="H236" s="2" t="s">
        <v>45</v>
      </c>
      <c r="I236" s="2">
        <v>4940</v>
      </c>
      <c r="J236" s="2">
        <v>4445500</v>
      </c>
      <c r="K236" s="3"/>
    </row>
    <row r="237" spans="2:11" ht="28.2" thickBot="1" x14ac:dyDescent="0.35">
      <c r="B237" s="2" t="s">
        <v>142</v>
      </c>
      <c r="C237" s="2" t="s">
        <v>10</v>
      </c>
      <c r="D237" s="2" t="s">
        <v>126</v>
      </c>
      <c r="E237" s="2" t="s">
        <v>12</v>
      </c>
      <c r="F237" s="2" t="s">
        <v>143</v>
      </c>
      <c r="G237" s="2" t="s">
        <v>144</v>
      </c>
      <c r="H237" s="2" t="s">
        <v>14</v>
      </c>
      <c r="I237" s="2">
        <v>4721</v>
      </c>
      <c r="J237" s="2">
        <v>3252402</v>
      </c>
      <c r="K237" s="3"/>
    </row>
    <row r="238" spans="2:11" ht="28.2" thickBot="1" x14ac:dyDescent="0.35">
      <c r="B238" s="2" t="s">
        <v>145</v>
      </c>
      <c r="C238" s="2" t="s">
        <v>10</v>
      </c>
      <c r="D238" s="2" t="s">
        <v>126</v>
      </c>
      <c r="E238" s="2" t="s">
        <v>12</v>
      </c>
      <c r="F238" s="2" t="s">
        <v>146</v>
      </c>
      <c r="G238" s="2" t="s">
        <v>147</v>
      </c>
      <c r="H238" s="2" t="s">
        <v>14</v>
      </c>
      <c r="I238" s="2">
        <v>2837</v>
      </c>
      <c r="J238" s="2">
        <v>3336606</v>
      </c>
      <c r="K238" s="3"/>
    </row>
    <row r="239" spans="2:11" ht="28.2" thickBot="1" x14ac:dyDescent="0.35">
      <c r="B239" s="2" t="s">
        <v>148</v>
      </c>
      <c r="C239" s="2" t="s">
        <v>30</v>
      </c>
      <c r="D239" s="2" t="s">
        <v>149</v>
      </c>
      <c r="E239" s="2" t="s">
        <v>77</v>
      </c>
      <c r="F239" s="2" t="s">
        <v>78</v>
      </c>
      <c r="G239" s="2" t="s">
        <v>79</v>
      </c>
      <c r="H239" s="2" t="s">
        <v>14</v>
      </c>
      <c r="I239" s="2">
        <v>2085</v>
      </c>
      <c r="J239" s="2">
        <v>3959640</v>
      </c>
      <c r="K239" s="3"/>
    </row>
    <row r="240" spans="2:11" ht="28.2" thickBot="1" x14ac:dyDescent="0.35">
      <c r="B240" s="2" t="s">
        <v>150</v>
      </c>
      <c r="C240" s="2" t="s">
        <v>30</v>
      </c>
      <c r="D240" s="2" t="s">
        <v>149</v>
      </c>
      <c r="E240" s="2" t="s">
        <v>12</v>
      </c>
      <c r="F240" s="2" t="s">
        <v>81</v>
      </c>
      <c r="G240" s="2" t="s">
        <v>82</v>
      </c>
      <c r="H240" s="2" t="s">
        <v>14</v>
      </c>
      <c r="I240" s="2">
        <v>2616</v>
      </c>
      <c r="J240" s="2">
        <v>3552240</v>
      </c>
      <c r="K240" s="3"/>
    </row>
    <row r="241" spans="2:11" ht="28.2" thickBot="1" x14ac:dyDescent="0.35">
      <c r="B241" s="2" t="s">
        <v>151</v>
      </c>
      <c r="C241" s="2" t="s">
        <v>30</v>
      </c>
      <c r="D241" s="2" t="s">
        <v>149</v>
      </c>
      <c r="E241" s="2" t="s">
        <v>57</v>
      </c>
      <c r="F241" s="2" t="s">
        <v>84</v>
      </c>
      <c r="G241" s="2" t="s">
        <v>85</v>
      </c>
      <c r="H241" s="2" t="s">
        <v>45</v>
      </c>
      <c r="I241" s="2">
        <v>6023</v>
      </c>
      <c r="J241" s="2">
        <v>6414320</v>
      </c>
      <c r="K241" s="3"/>
    </row>
    <row r="242" spans="2:11" ht="28.2" thickBot="1" x14ac:dyDescent="0.35">
      <c r="B242" s="2" t="s">
        <v>152</v>
      </c>
      <c r="C242" s="2" t="s">
        <v>30</v>
      </c>
      <c r="D242" s="2" t="s">
        <v>149</v>
      </c>
      <c r="E242" s="2" t="s">
        <v>22</v>
      </c>
      <c r="F242" s="2" t="s">
        <v>87</v>
      </c>
      <c r="G242" s="2" t="s">
        <v>24</v>
      </c>
      <c r="H242" s="2" t="s">
        <v>45</v>
      </c>
      <c r="I242" s="2">
        <v>6681</v>
      </c>
      <c r="J242" s="2">
        <v>2553980</v>
      </c>
      <c r="K242" s="3"/>
    </row>
    <row r="243" spans="2:11" ht="28.2" thickBot="1" x14ac:dyDescent="0.35">
      <c r="B243" s="2" t="s">
        <v>153</v>
      </c>
      <c r="C243" s="2" t="s">
        <v>30</v>
      </c>
      <c r="D243" s="2" t="s">
        <v>149</v>
      </c>
      <c r="E243" s="2" t="s">
        <v>17</v>
      </c>
      <c r="F243" s="2" t="s">
        <v>62</v>
      </c>
      <c r="G243" s="2" t="s">
        <v>39</v>
      </c>
      <c r="H243" s="2" t="s">
        <v>45</v>
      </c>
      <c r="I243" s="2">
        <v>8243</v>
      </c>
      <c r="J243" s="2">
        <v>2927020</v>
      </c>
      <c r="K243" s="3"/>
    </row>
    <row r="244" spans="2:11" ht="28.2" thickBot="1" x14ac:dyDescent="0.35">
      <c r="B244" s="2" t="s">
        <v>154</v>
      </c>
      <c r="C244" s="2" t="s">
        <v>30</v>
      </c>
      <c r="D244" s="2" t="s">
        <v>149</v>
      </c>
      <c r="E244" s="2" t="s">
        <v>12</v>
      </c>
      <c r="F244" s="2" t="s">
        <v>64</v>
      </c>
      <c r="G244" s="2" t="s">
        <v>50</v>
      </c>
      <c r="H244" s="2" t="s">
        <v>45</v>
      </c>
      <c r="I244" s="2">
        <v>9739</v>
      </c>
      <c r="J244" s="2">
        <v>2357547</v>
      </c>
      <c r="K244" s="3"/>
    </row>
    <row r="245" spans="2:11" ht="28.2" thickBot="1" x14ac:dyDescent="0.35">
      <c r="B245" s="2" t="s">
        <v>155</v>
      </c>
      <c r="C245" s="2" t="s">
        <v>30</v>
      </c>
      <c r="D245" s="2" t="s">
        <v>149</v>
      </c>
      <c r="E245" s="2" t="s">
        <v>12</v>
      </c>
      <c r="F245" s="2" t="s">
        <v>67</v>
      </c>
      <c r="G245" s="2" t="s">
        <v>50</v>
      </c>
      <c r="H245" s="2" t="s">
        <v>45</v>
      </c>
      <c r="I245" s="2">
        <v>1974</v>
      </c>
      <c r="J245" s="2">
        <v>1240575</v>
      </c>
      <c r="K245" s="3"/>
    </row>
    <row r="246" spans="2:11" ht="28.2" thickBot="1" x14ac:dyDescent="0.35">
      <c r="B246" s="2" t="s">
        <v>156</v>
      </c>
      <c r="C246" s="2" t="s">
        <v>30</v>
      </c>
      <c r="D246" s="2" t="s">
        <v>149</v>
      </c>
      <c r="E246" s="2" t="s">
        <v>26</v>
      </c>
      <c r="F246" s="2" t="s">
        <v>69</v>
      </c>
      <c r="G246" s="2" t="s">
        <v>28</v>
      </c>
      <c r="H246" s="2" t="s">
        <v>45</v>
      </c>
      <c r="I246" s="2">
        <v>7991</v>
      </c>
      <c r="J246" s="2">
        <v>1705632</v>
      </c>
      <c r="K246" s="3"/>
    </row>
    <row r="247" spans="2:11" ht="28.2" thickBot="1" x14ac:dyDescent="0.35">
      <c r="B247" s="2" t="s">
        <v>157</v>
      </c>
      <c r="C247" s="2" t="s">
        <v>30</v>
      </c>
      <c r="D247" s="2" t="s">
        <v>149</v>
      </c>
      <c r="E247" s="2" t="s">
        <v>26</v>
      </c>
      <c r="F247" s="2" t="s">
        <v>72</v>
      </c>
      <c r="G247" s="2" t="s">
        <v>28</v>
      </c>
      <c r="H247" s="2" t="s">
        <v>45</v>
      </c>
      <c r="I247" s="2">
        <v>1888</v>
      </c>
      <c r="J247" s="2">
        <v>4258261</v>
      </c>
      <c r="K247" s="3"/>
    </row>
    <row r="248" spans="2:11" ht="28.2" thickBot="1" x14ac:dyDescent="0.35">
      <c r="B248" s="2" t="s">
        <v>158</v>
      </c>
      <c r="C248" s="2" t="s">
        <v>30</v>
      </c>
      <c r="D248" s="2" t="s">
        <v>149</v>
      </c>
      <c r="E248" s="2" t="s">
        <v>12</v>
      </c>
      <c r="F248" s="2" t="s">
        <v>132</v>
      </c>
      <c r="G248" s="2" t="s">
        <v>44</v>
      </c>
      <c r="H248" s="2" t="s">
        <v>45</v>
      </c>
      <c r="I248" s="2">
        <v>3251</v>
      </c>
      <c r="J248" s="2">
        <v>5919366</v>
      </c>
      <c r="K248" s="3"/>
    </row>
    <row r="249" spans="2:11" ht="28.2" thickBot="1" x14ac:dyDescent="0.35">
      <c r="B249" s="2" t="s">
        <v>159</v>
      </c>
      <c r="C249" s="2" t="s">
        <v>30</v>
      </c>
      <c r="D249" s="2" t="s">
        <v>149</v>
      </c>
      <c r="E249" s="2" t="s">
        <v>12</v>
      </c>
      <c r="F249" s="2" t="s">
        <v>134</v>
      </c>
      <c r="G249" s="2" t="s">
        <v>50</v>
      </c>
      <c r="H249" s="2" t="s">
        <v>45</v>
      </c>
      <c r="I249" s="2">
        <v>7341</v>
      </c>
      <c r="J249" s="2">
        <v>5193090</v>
      </c>
      <c r="K249" s="3"/>
    </row>
    <row r="250" spans="2:11" ht="16.2" thickBot="1" x14ac:dyDescent="0.35">
      <c r="B250" s="2" t="s">
        <v>160</v>
      </c>
      <c r="C250" s="2" t="s">
        <v>30</v>
      </c>
      <c r="D250" s="2" t="s">
        <v>149</v>
      </c>
      <c r="E250" s="2" t="s">
        <v>22</v>
      </c>
      <c r="F250" s="2" t="s">
        <v>136</v>
      </c>
      <c r="G250" s="2" t="s">
        <v>93</v>
      </c>
      <c r="H250" s="2" t="s">
        <v>45</v>
      </c>
      <c r="I250" s="2">
        <v>7168</v>
      </c>
      <c r="J250" s="2">
        <v>9222833</v>
      </c>
      <c r="K250" s="3"/>
    </row>
    <row r="251" spans="2:11" ht="16.2" thickBot="1" x14ac:dyDescent="0.35">
      <c r="B251" s="2" t="s">
        <v>161</v>
      </c>
      <c r="C251" s="2" t="s">
        <v>30</v>
      </c>
      <c r="D251" s="2" t="s">
        <v>162</v>
      </c>
      <c r="E251" s="2" t="s">
        <v>26</v>
      </c>
      <c r="F251" s="2" t="s">
        <v>138</v>
      </c>
      <c r="G251" s="2" t="s">
        <v>139</v>
      </c>
      <c r="H251" s="2" t="s">
        <v>45</v>
      </c>
      <c r="I251" s="2">
        <v>8503</v>
      </c>
      <c r="J251" s="2">
        <v>1135050</v>
      </c>
      <c r="K251" s="3"/>
    </row>
    <row r="252" spans="2:11" ht="28.2" thickBot="1" x14ac:dyDescent="0.35">
      <c r="B252" s="2" t="s">
        <v>163</v>
      </c>
      <c r="C252" s="2" t="s">
        <v>30</v>
      </c>
      <c r="D252" s="2" t="s">
        <v>162</v>
      </c>
      <c r="E252" s="2" t="s">
        <v>17</v>
      </c>
      <c r="F252" s="2" t="s">
        <v>141</v>
      </c>
      <c r="G252" s="2" t="s">
        <v>19</v>
      </c>
      <c r="H252" s="2" t="s">
        <v>45</v>
      </c>
      <c r="I252" s="2">
        <v>3099</v>
      </c>
      <c r="J252" s="2">
        <v>7271810</v>
      </c>
      <c r="K252" s="3"/>
    </row>
    <row r="253" spans="2:11" ht="28.2" thickBot="1" x14ac:dyDescent="0.35">
      <c r="B253" s="2" t="s">
        <v>164</v>
      </c>
      <c r="C253" s="2" t="s">
        <v>30</v>
      </c>
      <c r="D253" s="2" t="s">
        <v>162</v>
      </c>
      <c r="E253" s="2" t="s">
        <v>12</v>
      </c>
      <c r="F253" s="2" t="s">
        <v>143</v>
      </c>
      <c r="G253" s="2" t="s">
        <v>144</v>
      </c>
      <c r="H253" s="2" t="s">
        <v>45</v>
      </c>
      <c r="I253" s="2">
        <v>2916</v>
      </c>
      <c r="J253" s="2">
        <v>1287616</v>
      </c>
      <c r="K253" s="3"/>
    </row>
    <row r="254" spans="2:11" ht="28.2" thickBot="1" x14ac:dyDescent="0.35">
      <c r="B254" s="2" t="s">
        <v>165</v>
      </c>
      <c r="C254" s="2" t="s">
        <v>30</v>
      </c>
      <c r="D254" s="2" t="s">
        <v>162</v>
      </c>
      <c r="E254" s="2" t="s">
        <v>12</v>
      </c>
      <c r="F254" s="2" t="s">
        <v>146</v>
      </c>
      <c r="G254" s="2" t="s">
        <v>147</v>
      </c>
      <c r="H254" s="2" t="s">
        <v>45</v>
      </c>
      <c r="I254" s="2">
        <v>5674</v>
      </c>
      <c r="J254" s="2">
        <v>2340720</v>
      </c>
      <c r="K254" s="3"/>
    </row>
    <row r="255" spans="2:11" ht="28.2" thickBot="1" x14ac:dyDescent="0.35">
      <c r="B255" s="2" t="s">
        <v>166</v>
      </c>
      <c r="C255" s="2" t="s">
        <v>30</v>
      </c>
      <c r="D255" s="2" t="s">
        <v>162</v>
      </c>
      <c r="E255" s="2" t="s">
        <v>77</v>
      </c>
      <c r="F255" s="2" t="s">
        <v>78</v>
      </c>
      <c r="G255" s="2" t="s">
        <v>79</v>
      </c>
      <c r="H255" s="2" t="s">
        <v>45</v>
      </c>
      <c r="I255" s="2">
        <v>4048</v>
      </c>
      <c r="J255" s="2">
        <v>6225168</v>
      </c>
      <c r="K255" s="3"/>
    </row>
    <row r="256" spans="2:11" ht="28.2" thickBot="1" x14ac:dyDescent="0.35">
      <c r="B256" s="2" t="s">
        <v>167</v>
      </c>
      <c r="C256" s="2" t="s">
        <v>30</v>
      </c>
      <c r="D256" s="2" t="s">
        <v>162</v>
      </c>
      <c r="E256" s="2" t="s">
        <v>12</v>
      </c>
      <c r="F256" s="2" t="s">
        <v>81</v>
      </c>
      <c r="G256" s="2" t="s">
        <v>82</v>
      </c>
      <c r="H256" s="2" t="s">
        <v>14</v>
      </c>
      <c r="I256" s="2">
        <v>1663</v>
      </c>
      <c r="J256" s="2">
        <v>4601856</v>
      </c>
      <c r="K256" s="3"/>
    </row>
    <row r="257" spans="2:11" ht="28.2" thickBot="1" x14ac:dyDescent="0.35">
      <c r="B257" s="2" t="s">
        <v>168</v>
      </c>
      <c r="C257" s="2" t="s">
        <v>30</v>
      </c>
      <c r="D257" s="2" t="s">
        <v>162</v>
      </c>
      <c r="E257" s="2" t="s">
        <v>57</v>
      </c>
      <c r="F257" s="2" t="s">
        <v>84</v>
      </c>
      <c r="G257" s="2" t="s">
        <v>85</v>
      </c>
      <c r="H257" s="2" t="s">
        <v>14</v>
      </c>
      <c r="I257" s="2">
        <v>9541</v>
      </c>
      <c r="J257" s="2">
        <v>5025273</v>
      </c>
      <c r="K257" s="3"/>
    </row>
    <row r="258" spans="2:11" ht="28.2" thickBot="1" x14ac:dyDescent="0.35">
      <c r="B258" s="2" t="s">
        <v>169</v>
      </c>
      <c r="C258" s="2" t="s">
        <v>30</v>
      </c>
      <c r="D258" s="2" t="s">
        <v>162</v>
      </c>
      <c r="E258" s="2" t="s">
        <v>22</v>
      </c>
      <c r="F258" s="2" t="s">
        <v>87</v>
      </c>
      <c r="G258" s="2" t="s">
        <v>24</v>
      </c>
      <c r="H258" s="2" t="s">
        <v>14</v>
      </c>
      <c r="I258" s="2">
        <v>3649</v>
      </c>
      <c r="J258" s="2">
        <v>1862499</v>
      </c>
      <c r="K258" s="3"/>
    </row>
    <row r="259" spans="2:11" ht="28.2" thickBot="1" x14ac:dyDescent="0.35">
      <c r="B259" s="2" t="s">
        <v>170</v>
      </c>
      <c r="C259" s="2" t="s">
        <v>30</v>
      </c>
      <c r="D259" s="2" t="s">
        <v>162</v>
      </c>
      <c r="E259" s="2" t="s">
        <v>22</v>
      </c>
      <c r="F259" s="2" t="s">
        <v>23</v>
      </c>
      <c r="G259" s="2" t="s">
        <v>24</v>
      </c>
      <c r="H259" s="2" t="s">
        <v>14</v>
      </c>
      <c r="I259" s="2">
        <v>1737</v>
      </c>
      <c r="J259" s="2">
        <v>2236572</v>
      </c>
      <c r="K259" s="3"/>
    </row>
    <row r="260" spans="2:11" ht="28.2" thickBot="1" x14ac:dyDescent="0.35">
      <c r="B260" s="2" t="s">
        <v>171</v>
      </c>
      <c r="C260" s="2" t="s">
        <v>30</v>
      </c>
      <c r="D260" s="2" t="s">
        <v>162</v>
      </c>
      <c r="E260" s="2" t="s">
        <v>57</v>
      </c>
      <c r="F260" s="2" t="s">
        <v>90</v>
      </c>
      <c r="G260" s="2" t="s">
        <v>59</v>
      </c>
      <c r="H260" s="2" t="s">
        <v>14</v>
      </c>
      <c r="I260" s="2">
        <v>7995</v>
      </c>
      <c r="J260" s="2">
        <v>5532150</v>
      </c>
      <c r="K260" s="3"/>
    </row>
    <row r="261" spans="2:11" ht="28.2" thickBot="1" x14ac:dyDescent="0.35">
      <c r="B261" s="2" t="s">
        <v>172</v>
      </c>
      <c r="C261" s="2" t="s">
        <v>30</v>
      </c>
      <c r="D261" s="2" t="s">
        <v>162</v>
      </c>
      <c r="E261" s="2" t="s">
        <v>22</v>
      </c>
      <c r="F261" s="2" t="s">
        <v>92</v>
      </c>
      <c r="G261" s="2" t="s">
        <v>93</v>
      </c>
      <c r="H261" s="2" t="s">
        <v>45</v>
      </c>
      <c r="I261" s="2">
        <v>5228</v>
      </c>
      <c r="J261" s="2">
        <v>2886224</v>
      </c>
      <c r="K261" s="3"/>
    </row>
    <row r="262" spans="2:11" ht="42" thickBot="1" x14ac:dyDescent="0.35">
      <c r="B262" s="2" t="s">
        <v>173</v>
      </c>
      <c r="C262" s="2" t="s">
        <v>71</v>
      </c>
      <c r="D262" s="2" t="s">
        <v>16</v>
      </c>
      <c r="E262" s="2" t="s">
        <v>22</v>
      </c>
      <c r="F262" s="2" t="s">
        <v>95</v>
      </c>
      <c r="G262" s="2" t="s">
        <v>24</v>
      </c>
      <c r="H262" s="2" t="s">
        <v>45</v>
      </c>
      <c r="I262" s="2">
        <v>7710</v>
      </c>
      <c r="J262" s="2">
        <v>1095917</v>
      </c>
      <c r="K262" s="3"/>
    </row>
    <row r="263" spans="2:11" ht="42" thickBot="1" x14ac:dyDescent="0.35">
      <c r="B263" s="2" t="s">
        <v>174</v>
      </c>
      <c r="C263" s="2" t="s">
        <v>71</v>
      </c>
      <c r="D263" s="2" t="s">
        <v>16</v>
      </c>
      <c r="E263" s="2" t="s">
        <v>26</v>
      </c>
      <c r="F263" s="2" t="s">
        <v>97</v>
      </c>
      <c r="G263" s="2" t="s">
        <v>33</v>
      </c>
      <c r="H263" s="2" t="s">
        <v>45</v>
      </c>
      <c r="I263" s="2">
        <v>3333</v>
      </c>
      <c r="J263" s="2">
        <v>9388344</v>
      </c>
      <c r="K263" s="3"/>
    </row>
    <row r="264" spans="2:11" ht="42" thickBot="1" x14ac:dyDescent="0.35">
      <c r="B264" s="2" t="s">
        <v>175</v>
      </c>
      <c r="C264" s="2" t="s">
        <v>71</v>
      </c>
      <c r="D264" s="2" t="s">
        <v>16</v>
      </c>
      <c r="E264" s="2" t="s">
        <v>12</v>
      </c>
      <c r="F264" s="2" t="s">
        <v>13</v>
      </c>
      <c r="G264" s="2" t="s">
        <v>13</v>
      </c>
      <c r="H264" s="2" t="s">
        <v>45</v>
      </c>
      <c r="I264" s="2">
        <v>9277</v>
      </c>
      <c r="J264" s="2">
        <v>1835447</v>
      </c>
      <c r="K264" s="3"/>
    </row>
    <row r="265" spans="2:11" ht="42" thickBot="1" x14ac:dyDescent="0.35">
      <c r="B265" s="2" t="s">
        <v>176</v>
      </c>
      <c r="C265" s="2" t="s">
        <v>71</v>
      </c>
      <c r="D265" s="2" t="s">
        <v>16</v>
      </c>
      <c r="E265" s="2" t="s">
        <v>17</v>
      </c>
      <c r="F265" s="2" t="s">
        <v>18</v>
      </c>
      <c r="G265" s="2" t="s">
        <v>19</v>
      </c>
      <c r="H265" s="2" t="s">
        <v>45</v>
      </c>
      <c r="I265" s="2">
        <v>4277</v>
      </c>
      <c r="J265" s="2">
        <v>991827</v>
      </c>
      <c r="K265" s="3"/>
    </row>
    <row r="266" spans="2:11" ht="42" thickBot="1" x14ac:dyDescent="0.35">
      <c r="B266" s="2" t="s">
        <v>177</v>
      </c>
      <c r="C266" s="2" t="s">
        <v>71</v>
      </c>
      <c r="D266" s="2" t="s">
        <v>16</v>
      </c>
      <c r="E266" s="2" t="s">
        <v>12</v>
      </c>
      <c r="F266" s="2" t="s">
        <v>81</v>
      </c>
      <c r="G266" s="2" t="s">
        <v>82</v>
      </c>
      <c r="H266" s="2" t="s">
        <v>45</v>
      </c>
      <c r="I266" s="2">
        <v>1696</v>
      </c>
      <c r="J266" s="2">
        <v>7275450</v>
      </c>
      <c r="K266" s="3"/>
    </row>
    <row r="267" spans="2:11" ht="42" thickBot="1" x14ac:dyDescent="0.35">
      <c r="B267" s="2" t="s">
        <v>178</v>
      </c>
      <c r="C267" s="2" t="s">
        <v>71</v>
      </c>
      <c r="D267" s="2" t="s">
        <v>16</v>
      </c>
      <c r="E267" s="2" t="s">
        <v>57</v>
      </c>
      <c r="F267" s="2" t="s">
        <v>84</v>
      </c>
      <c r="G267" s="2" t="s">
        <v>85</v>
      </c>
      <c r="H267" s="2" t="s">
        <v>45</v>
      </c>
      <c r="I267" s="2">
        <v>7071</v>
      </c>
      <c r="J267" s="2">
        <v>4083068</v>
      </c>
      <c r="K267" s="3"/>
    </row>
    <row r="268" spans="2:11" ht="42" thickBot="1" x14ac:dyDescent="0.35">
      <c r="B268" s="2" t="s">
        <v>179</v>
      </c>
      <c r="C268" s="2" t="s">
        <v>71</v>
      </c>
      <c r="D268" s="2" t="s">
        <v>16</v>
      </c>
      <c r="E268" s="2" t="s">
        <v>22</v>
      </c>
      <c r="F268" s="2" t="s">
        <v>87</v>
      </c>
      <c r="G268" s="2" t="s">
        <v>24</v>
      </c>
      <c r="H268" s="2" t="s">
        <v>14</v>
      </c>
      <c r="I268" s="2">
        <v>2536</v>
      </c>
      <c r="J268" s="2">
        <v>7355340</v>
      </c>
      <c r="K268" s="3"/>
    </row>
    <row r="269" spans="2:11" ht="28.2" thickBot="1" x14ac:dyDescent="0.35">
      <c r="B269" s="2" t="s">
        <v>180</v>
      </c>
      <c r="C269" s="2" t="s">
        <v>30</v>
      </c>
      <c r="D269" s="2" t="s">
        <v>149</v>
      </c>
      <c r="E269" s="2" t="s">
        <v>17</v>
      </c>
      <c r="F269" s="2" t="s">
        <v>62</v>
      </c>
      <c r="G269" s="2" t="s">
        <v>39</v>
      </c>
      <c r="H269" s="2" t="s">
        <v>14</v>
      </c>
      <c r="I269" s="2">
        <v>7823</v>
      </c>
      <c r="J269" s="2">
        <v>3149685</v>
      </c>
      <c r="K269" s="3"/>
    </row>
    <row r="270" spans="2:11" ht="28.2" thickBot="1" x14ac:dyDescent="0.35">
      <c r="B270" s="2" t="s">
        <v>181</v>
      </c>
      <c r="C270" s="2" t="s">
        <v>30</v>
      </c>
      <c r="D270" s="2" t="s">
        <v>149</v>
      </c>
      <c r="E270" s="2" t="s">
        <v>12</v>
      </c>
      <c r="F270" s="2" t="s">
        <v>64</v>
      </c>
      <c r="G270" s="2" t="s">
        <v>50</v>
      </c>
      <c r="H270" s="2" t="s">
        <v>14</v>
      </c>
      <c r="I270" s="2">
        <v>7275</v>
      </c>
      <c r="J270" s="2">
        <v>7783403</v>
      </c>
      <c r="K270" s="3"/>
    </row>
    <row r="271" spans="2:11" ht="28.2" thickBot="1" x14ac:dyDescent="0.35">
      <c r="B271" s="2" t="s">
        <v>182</v>
      </c>
      <c r="C271" s="2" t="s">
        <v>30</v>
      </c>
      <c r="D271" s="2" t="s">
        <v>149</v>
      </c>
      <c r="E271" s="2" t="s">
        <v>12</v>
      </c>
      <c r="F271" s="2" t="s">
        <v>67</v>
      </c>
      <c r="G271" s="2" t="s">
        <v>50</v>
      </c>
      <c r="H271" s="2" t="s">
        <v>14</v>
      </c>
      <c r="I271" s="2">
        <v>8910</v>
      </c>
      <c r="J271" s="2">
        <v>3665389</v>
      </c>
      <c r="K271" s="3"/>
    </row>
    <row r="272" spans="2:11" ht="28.2" thickBot="1" x14ac:dyDescent="0.35">
      <c r="B272" s="2" t="s">
        <v>183</v>
      </c>
      <c r="C272" s="2" t="s">
        <v>30</v>
      </c>
      <c r="D272" s="2" t="s">
        <v>149</v>
      </c>
      <c r="E272" s="2" t="s">
        <v>26</v>
      </c>
      <c r="F272" s="2" t="s">
        <v>69</v>
      </c>
      <c r="G272" s="2" t="s">
        <v>28</v>
      </c>
      <c r="H272" s="2" t="s">
        <v>45</v>
      </c>
      <c r="I272" s="2">
        <v>2683</v>
      </c>
      <c r="J272" s="2">
        <v>1472128</v>
      </c>
      <c r="K272" s="3"/>
    </row>
    <row r="273" spans="2:11" ht="16.2" thickBot="1" x14ac:dyDescent="0.35">
      <c r="B273" s="2" t="s">
        <v>184</v>
      </c>
      <c r="C273" s="2" t="s">
        <v>30</v>
      </c>
      <c r="D273" s="2" t="s">
        <v>149</v>
      </c>
      <c r="E273" s="2" t="s">
        <v>26</v>
      </c>
      <c r="F273" s="2" t="s">
        <v>72</v>
      </c>
      <c r="G273" s="2" t="s">
        <v>28</v>
      </c>
      <c r="H273" s="2" t="s">
        <v>14</v>
      </c>
      <c r="I273" s="2">
        <v>7046</v>
      </c>
      <c r="J273" s="2">
        <v>5501238</v>
      </c>
      <c r="K273" s="3"/>
    </row>
    <row r="274" spans="2:11" ht="28.2" thickBot="1" x14ac:dyDescent="0.35">
      <c r="B274" s="2" t="s">
        <v>185</v>
      </c>
      <c r="C274" s="2" t="s">
        <v>30</v>
      </c>
      <c r="D274" s="2" t="s">
        <v>162</v>
      </c>
      <c r="E274" s="2" t="s">
        <v>12</v>
      </c>
      <c r="F274" s="2" t="s">
        <v>132</v>
      </c>
      <c r="G274" s="2" t="s">
        <v>44</v>
      </c>
      <c r="H274" s="2" t="s">
        <v>14</v>
      </c>
      <c r="I274" s="2">
        <v>9395</v>
      </c>
      <c r="J274" s="2">
        <v>2023728</v>
      </c>
      <c r="K274" s="3"/>
    </row>
    <row r="275" spans="2:11" ht="28.2" thickBot="1" x14ac:dyDescent="0.35">
      <c r="B275" s="2" t="s">
        <v>186</v>
      </c>
      <c r="C275" s="2" t="s">
        <v>30</v>
      </c>
      <c r="D275" s="2" t="s">
        <v>162</v>
      </c>
      <c r="E275" s="2" t="s">
        <v>12</v>
      </c>
      <c r="F275" s="2" t="s">
        <v>134</v>
      </c>
      <c r="G275" s="2" t="s">
        <v>50</v>
      </c>
      <c r="H275" s="2" t="s">
        <v>14</v>
      </c>
      <c r="I275" s="2">
        <v>5242</v>
      </c>
      <c r="J275" s="2">
        <v>6516559</v>
      </c>
      <c r="K275" s="3"/>
    </row>
    <row r="276" spans="2:11" ht="28.2" thickBot="1" x14ac:dyDescent="0.35">
      <c r="B276" s="2" t="s">
        <v>187</v>
      </c>
      <c r="C276" s="2" t="s">
        <v>30</v>
      </c>
      <c r="D276" s="2" t="s">
        <v>162</v>
      </c>
      <c r="E276" s="2" t="s">
        <v>22</v>
      </c>
      <c r="F276" s="2" t="s">
        <v>136</v>
      </c>
      <c r="G276" s="2" t="s">
        <v>93</v>
      </c>
      <c r="H276" s="2" t="s">
        <v>14</v>
      </c>
      <c r="I276" s="2">
        <v>9909</v>
      </c>
      <c r="J276" s="2">
        <v>5645400</v>
      </c>
      <c r="K276" s="3"/>
    </row>
    <row r="277" spans="2:11" ht="28.2" thickBot="1" x14ac:dyDescent="0.35">
      <c r="B277" s="2" t="s">
        <v>188</v>
      </c>
      <c r="C277" s="2" t="s">
        <v>30</v>
      </c>
      <c r="D277" s="2" t="s">
        <v>162</v>
      </c>
      <c r="E277" s="2" t="s">
        <v>26</v>
      </c>
      <c r="F277" s="2" t="s">
        <v>138</v>
      </c>
      <c r="G277" s="2" t="s">
        <v>139</v>
      </c>
      <c r="H277" s="2" t="s">
        <v>45</v>
      </c>
      <c r="I277" s="2">
        <v>2005</v>
      </c>
      <c r="J277" s="2">
        <v>4713390</v>
      </c>
      <c r="K277" s="3"/>
    </row>
    <row r="278" spans="2:11" ht="28.2" thickBot="1" x14ac:dyDescent="0.35">
      <c r="B278" s="2" t="s">
        <v>189</v>
      </c>
      <c r="C278" s="2" t="s">
        <v>30</v>
      </c>
      <c r="D278" s="2" t="s">
        <v>162</v>
      </c>
      <c r="E278" s="2" t="s">
        <v>17</v>
      </c>
      <c r="F278" s="2" t="s">
        <v>141</v>
      </c>
      <c r="G278" s="2" t="s">
        <v>19</v>
      </c>
      <c r="H278" s="2" t="s">
        <v>45</v>
      </c>
      <c r="I278" s="2">
        <v>1891</v>
      </c>
      <c r="J278" s="2">
        <v>1891515</v>
      </c>
      <c r="K278" s="3"/>
    </row>
    <row r="279" spans="2:11" ht="28.2" thickBot="1" x14ac:dyDescent="0.35">
      <c r="B279" s="2" t="s">
        <v>9</v>
      </c>
      <c r="C279" s="2" t="s">
        <v>30</v>
      </c>
      <c r="D279" s="2" t="s">
        <v>162</v>
      </c>
      <c r="E279" s="2" t="s">
        <v>12</v>
      </c>
      <c r="F279" s="2" t="s">
        <v>143</v>
      </c>
      <c r="G279" s="2" t="s">
        <v>144</v>
      </c>
      <c r="H279" s="2" t="s">
        <v>45</v>
      </c>
      <c r="I279" s="2">
        <v>6839</v>
      </c>
      <c r="J279" s="2">
        <v>4058496</v>
      </c>
      <c r="K279" s="3"/>
    </row>
    <row r="280" spans="2:11" ht="28.2" thickBot="1" x14ac:dyDescent="0.35">
      <c r="B280" s="2" t="s">
        <v>15</v>
      </c>
      <c r="C280" s="2" t="s">
        <v>71</v>
      </c>
      <c r="D280" s="2" t="s">
        <v>190</v>
      </c>
      <c r="E280" s="2" t="s">
        <v>12</v>
      </c>
      <c r="F280" s="2" t="s">
        <v>146</v>
      </c>
      <c r="G280" s="2" t="s">
        <v>147</v>
      </c>
      <c r="H280" s="2" t="s">
        <v>45</v>
      </c>
      <c r="I280" s="2">
        <v>8854</v>
      </c>
      <c r="J280" s="2">
        <v>8662190</v>
      </c>
      <c r="K280" s="3"/>
    </row>
    <row r="281" spans="2:11" ht="28.2" thickBot="1" x14ac:dyDescent="0.35">
      <c r="B281" s="2" t="s">
        <v>20</v>
      </c>
      <c r="C281" s="2" t="s">
        <v>71</v>
      </c>
      <c r="D281" s="2" t="s">
        <v>190</v>
      </c>
      <c r="E281" s="2" t="s">
        <v>77</v>
      </c>
      <c r="F281" s="2" t="s">
        <v>78</v>
      </c>
      <c r="G281" s="2" t="s">
        <v>79</v>
      </c>
      <c r="H281" s="2" t="s">
        <v>45</v>
      </c>
      <c r="I281" s="2">
        <v>8143</v>
      </c>
      <c r="J281" s="2">
        <v>4392796</v>
      </c>
      <c r="K281" s="3"/>
    </row>
    <row r="282" spans="2:11" ht="28.2" thickBot="1" x14ac:dyDescent="0.35">
      <c r="B282" s="2" t="s">
        <v>25</v>
      </c>
      <c r="C282" s="2" t="s">
        <v>71</v>
      </c>
      <c r="D282" s="2" t="s">
        <v>190</v>
      </c>
      <c r="E282" s="2" t="s">
        <v>12</v>
      </c>
      <c r="F282" s="2" t="s">
        <v>81</v>
      </c>
      <c r="G282" s="2" t="s">
        <v>82</v>
      </c>
      <c r="H282" s="2" t="s">
        <v>45</v>
      </c>
      <c r="I282" s="2">
        <v>8069</v>
      </c>
      <c r="J282" s="2">
        <v>6510213</v>
      </c>
      <c r="K282" s="3"/>
    </row>
    <row r="283" spans="2:11" ht="28.2" thickBot="1" x14ac:dyDescent="0.35">
      <c r="B283" s="2" t="s">
        <v>29</v>
      </c>
      <c r="C283" s="2" t="s">
        <v>71</v>
      </c>
      <c r="D283" s="2" t="s">
        <v>190</v>
      </c>
      <c r="E283" s="2" t="s">
        <v>57</v>
      </c>
      <c r="F283" s="2" t="s">
        <v>84</v>
      </c>
      <c r="G283" s="2" t="s">
        <v>85</v>
      </c>
      <c r="H283" s="2" t="s">
        <v>45</v>
      </c>
      <c r="I283" s="2">
        <v>2268</v>
      </c>
      <c r="J283" s="2">
        <v>1499740</v>
      </c>
      <c r="K283" s="3"/>
    </row>
    <row r="284" spans="2:11" ht="28.2" thickBot="1" x14ac:dyDescent="0.35">
      <c r="B284" s="2" t="s">
        <v>34</v>
      </c>
      <c r="C284" s="2" t="s">
        <v>71</v>
      </c>
      <c r="D284" s="2" t="s">
        <v>190</v>
      </c>
      <c r="E284" s="2" t="s">
        <v>22</v>
      </c>
      <c r="F284" s="2" t="s">
        <v>87</v>
      </c>
      <c r="G284" s="2" t="s">
        <v>24</v>
      </c>
      <c r="H284" s="2" t="s">
        <v>45</v>
      </c>
      <c r="I284" s="2">
        <v>2576</v>
      </c>
      <c r="J284" s="2">
        <v>1802123</v>
      </c>
      <c r="K284" s="3"/>
    </row>
    <row r="285" spans="2:11" ht="28.2" thickBot="1" x14ac:dyDescent="0.35">
      <c r="B285" s="2" t="s">
        <v>37</v>
      </c>
      <c r="C285" s="2" t="s">
        <v>71</v>
      </c>
      <c r="D285" s="2" t="s">
        <v>190</v>
      </c>
      <c r="E285" s="2" t="s">
        <v>22</v>
      </c>
      <c r="F285" s="2" t="s">
        <v>23</v>
      </c>
      <c r="G285" s="2" t="s">
        <v>24</v>
      </c>
      <c r="H285" s="2" t="s">
        <v>45</v>
      </c>
      <c r="I285" s="2">
        <v>7694</v>
      </c>
      <c r="J285" s="2">
        <v>6216651</v>
      </c>
      <c r="K285" s="3"/>
    </row>
    <row r="286" spans="2:11" ht="28.2" thickBot="1" x14ac:dyDescent="0.35">
      <c r="B286" s="2" t="s">
        <v>40</v>
      </c>
      <c r="C286" s="2" t="s">
        <v>71</v>
      </c>
      <c r="D286" s="2" t="s">
        <v>190</v>
      </c>
      <c r="E286" s="2" t="s">
        <v>57</v>
      </c>
      <c r="F286" s="2" t="s">
        <v>90</v>
      </c>
      <c r="G286" s="2" t="s">
        <v>59</v>
      </c>
      <c r="H286" s="2" t="s">
        <v>45</v>
      </c>
      <c r="I286" s="2">
        <v>8952</v>
      </c>
      <c r="J286" s="2">
        <v>8358176</v>
      </c>
      <c r="K286" s="3"/>
    </row>
    <row r="287" spans="2:11" ht="28.2" thickBot="1" x14ac:dyDescent="0.35">
      <c r="B287" s="2" t="s">
        <v>42</v>
      </c>
      <c r="C287" s="2" t="s">
        <v>71</v>
      </c>
      <c r="D287" s="2" t="s">
        <v>190</v>
      </c>
      <c r="E287" s="2" t="s">
        <v>22</v>
      </c>
      <c r="F287" s="2" t="s">
        <v>92</v>
      </c>
      <c r="G287" s="2" t="s">
        <v>93</v>
      </c>
      <c r="H287" s="2" t="s">
        <v>14</v>
      </c>
      <c r="I287" s="2">
        <v>5764</v>
      </c>
      <c r="J287" s="2">
        <v>6400398</v>
      </c>
      <c r="K287" s="3"/>
    </row>
    <row r="288" spans="2:11" ht="28.2" thickBot="1" x14ac:dyDescent="0.35">
      <c r="B288" s="2" t="s">
        <v>46</v>
      </c>
      <c r="C288" s="2" t="s">
        <v>71</v>
      </c>
      <c r="D288" s="2" t="s">
        <v>190</v>
      </c>
      <c r="E288" s="2" t="s">
        <v>22</v>
      </c>
      <c r="F288" s="2" t="s">
        <v>95</v>
      </c>
      <c r="G288" s="2" t="s">
        <v>24</v>
      </c>
      <c r="H288" s="2" t="s">
        <v>14</v>
      </c>
      <c r="I288" s="2">
        <v>9098</v>
      </c>
      <c r="J288" s="2">
        <v>4462157</v>
      </c>
      <c r="K288" s="3"/>
    </row>
    <row r="289" spans="2:11" ht="28.2" thickBot="1" x14ac:dyDescent="0.35">
      <c r="B289" s="2" t="s">
        <v>48</v>
      </c>
      <c r="C289" s="2" t="s">
        <v>71</v>
      </c>
      <c r="D289" s="2" t="s">
        <v>190</v>
      </c>
      <c r="E289" s="2" t="s">
        <v>12</v>
      </c>
      <c r="F289" s="2" t="s">
        <v>134</v>
      </c>
      <c r="G289" s="2" t="s">
        <v>50</v>
      </c>
      <c r="H289" s="2" t="s">
        <v>14</v>
      </c>
      <c r="I289" s="2">
        <v>2777</v>
      </c>
      <c r="J289" s="2">
        <v>2066148</v>
      </c>
      <c r="K289" s="3"/>
    </row>
    <row r="290" spans="2:11" ht="28.2" thickBot="1" x14ac:dyDescent="0.35">
      <c r="B290" s="2" t="s">
        <v>51</v>
      </c>
      <c r="C290" s="2" t="s">
        <v>71</v>
      </c>
      <c r="D290" s="2" t="s">
        <v>190</v>
      </c>
      <c r="E290" s="2" t="s">
        <v>22</v>
      </c>
      <c r="F290" s="2" t="s">
        <v>136</v>
      </c>
      <c r="G290" s="2" t="s">
        <v>93</v>
      </c>
      <c r="H290" s="2" t="s">
        <v>14</v>
      </c>
      <c r="I290" s="2">
        <v>9218</v>
      </c>
      <c r="J290" s="2">
        <v>2542512</v>
      </c>
      <c r="K290" s="3"/>
    </row>
    <row r="291" spans="2:11" ht="28.2" thickBot="1" x14ac:dyDescent="0.35">
      <c r="B291" s="2" t="s">
        <v>53</v>
      </c>
      <c r="C291" s="2" t="s">
        <v>71</v>
      </c>
      <c r="D291" s="2" t="s">
        <v>190</v>
      </c>
      <c r="E291" s="2" t="s">
        <v>26</v>
      </c>
      <c r="F291" s="2" t="s">
        <v>138</v>
      </c>
      <c r="G291" s="2" t="s">
        <v>139</v>
      </c>
      <c r="H291" s="2" t="s">
        <v>14</v>
      </c>
      <c r="I291" s="2">
        <v>6785</v>
      </c>
      <c r="J291" s="2">
        <v>6978458</v>
      </c>
      <c r="K291" s="3"/>
    </row>
    <row r="292" spans="2:11" ht="28.2" thickBot="1" x14ac:dyDescent="0.35">
      <c r="B292" s="2" t="s">
        <v>56</v>
      </c>
      <c r="C292" s="2" t="s">
        <v>10</v>
      </c>
      <c r="D292" s="2" t="s">
        <v>126</v>
      </c>
      <c r="E292" s="2" t="s">
        <v>17</v>
      </c>
      <c r="F292" s="2" t="s">
        <v>141</v>
      </c>
      <c r="G292" s="2" t="s">
        <v>19</v>
      </c>
      <c r="H292" s="2" t="s">
        <v>45</v>
      </c>
      <c r="I292" s="2">
        <v>1980</v>
      </c>
      <c r="J292" s="2">
        <v>6803520</v>
      </c>
      <c r="K292" s="3"/>
    </row>
    <row r="293" spans="2:11" ht="28.2" thickBot="1" x14ac:dyDescent="0.35">
      <c r="B293" s="2" t="s">
        <v>60</v>
      </c>
      <c r="C293" s="2" t="s">
        <v>10</v>
      </c>
      <c r="D293" s="2" t="s">
        <v>126</v>
      </c>
      <c r="E293" s="2" t="s">
        <v>12</v>
      </c>
      <c r="F293" s="2" t="s">
        <v>143</v>
      </c>
      <c r="G293" s="2" t="s">
        <v>144</v>
      </c>
      <c r="H293" s="2" t="s">
        <v>45</v>
      </c>
      <c r="I293" s="2">
        <v>6082</v>
      </c>
      <c r="J293" s="2">
        <v>3585208</v>
      </c>
      <c r="K293" s="3"/>
    </row>
    <row r="294" spans="2:11" ht="28.2" thickBot="1" x14ac:dyDescent="0.35">
      <c r="B294" s="2" t="s">
        <v>63</v>
      </c>
      <c r="C294" s="2" t="s">
        <v>10</v>
      </c>
      <c r="D294" s="2" t="s">
        <v>126</v>
      </c>
      <c r="E294" s="2" t="s">
        <v>12</v>
      </c>
      <c r="F294" s="2" t="s">
        <v>146</v>
      </c>
      <c r="G294" s="2" t="s">
        <v>147</v>
      </c>
      <c r="H294" s="2" t="s">
        <v>45</v>
      </c>
      <c r="I294" s="2">
        <v>9433</v>
      </c>
      <c r="J294" s="2">
        <v>6159346</v>
      </c>
      <c r="K294" s="3"/>
    </row>
    <row r="295" spans="2:11" ht="28.2" thickBot="1" x14ac:dyDescent="0.35">
      <c r="B295" s="2" t="s">
        <v>65</v>
      </c>
      <c r="C295" s="2" t="s">
        <v>10</v>
      </c>
      <c r="D295" s="2" t="s">
        <v>126</v>
      </c>
      <c r="E295" s="2" t="s">
        <v>77</v>
      </c>
      <c r="F295" s="2" t="s">
        <v>78</v>
      </c>
      <c r="G295" s="2" t="s">
        <v>79</v>
      </c>
      <c r="H295" s="2" t="s">
        <v>14</v>
      </c>
      <c r="I295" s="2">
        <v>5549</v>
      </c>
      <c r="J295" s="2">
        <v>2738122</v>
      </c>
      <c r="K295" s="3"/>
    </row>
    <row r="296" spans="2:11" ht="28.2" thickBot="1" x14ac:dyDescent="0.35">
      <c r="B296" s="2" t="s">
        <v>68</v>
      </c>
      <c r="C296" s="2" t="s">
        <v>10</v>
      </c>
      <c r="D296" s="2" t="s">
        <v>126</v>
      </c>
      <c r="E296" s="2" t="s">
        <v>12</v>
      </c>
      <c r="F296" s="2" t="s">
        <v>81</v>
      </c>
      <c r="G296" s="2" t="s">
        <v>82</v>
      </c>
      <c r="H296" s="2" t="s">
        <v>14</v>
      </c>
      <c r="I296" s="2">
        <v>2572</v>
      </c>
      <c r="J296" s="2">
        <v>8545086</v>
      </c>
      <c r="K296" s="3"/>
    </row>
    <row r="297" spans="2:11" ht="28.2" thickBot="1" x14ac:dyDescent="0.35">
      <c r="B297" s="2" t="s">
        <v>70</v>
      </c>
      <c r="C297" s="2" t="s">
        <v>10</v>
      </c>
      <c r="D297" s="2" t="s">
        <v>126</v>
      </c>
      <c r="E297" s="2" t="s">
        <v>57</v>
      </c>
      <c r="F297" s="2" t="s">
        <v>84</v>
      </c>
      <c r="G297" s="2" t="s">
        <v>85</v>
      </c>
      <c r="H297" s="2" t="s">
        <v>14</v>
      </c>
      <c r="I297" s="2">
        <v>5503</v>
      </c>
      <c r="J297" s="2">
        <v>5095535</v>
      </c>
      <c r="K297" s="3"/>
    </row>
    <row r="298" spans="2:11" ht="28.2" thickBot="1" x14ac:dyDescent="0.35">
      <c r="B298" s="2" t="s">
        <v>0</v>
      </c>
      <c r="C298" s="2" t="s">
        <v>10</v>
      </c>
      <c r="D298" s="2" t="s">
        <v>126</v>
      </c>
      <c r="E298" s="2" t="s">
        <v>22</v>
      </c>
      <c r="F298" s="2" t="s">
        <v>87</v>
      </c>
      <c r="G298" s="2" t="s">
        <v>24</v>
      </c>
      <c r="H298" s="2" t="s">
        <v>14</v>
      </c>
      <c r="I298" s="2">
        <v>5562</v>
      </c>
      <c r="J298" s="2">
        <v>1283040</v>
      </c>
      <c r="K298" s="3"/>
    </row>
    <row r="299" spans="2:11" ht="28.2" thickBot="1" x14ac:dyDescent="0.35">
      <c r="B299" s="2" t="s">
        <v>9</v>
      </c>
      <c r="C299" s="2" t="s">
        <v>10</v>
      </c>
      <c r="D299" s="2" t="s">
        <v>126</v>
      </c>
      <c r="E299" s="2" t="s">
        <v>22</v>
      </c>
      <c r="F299" s="2" t="s">
        <v>23</v>
      </c>
      <c r="G299" s="2" t="s">
        <v>24</v>
      </c>
      <c r="H299" s="2" t="s">
        <v>14</v>
      </c>
      <c r="I299" s="2">
        <v>3673</v>
      </c>
      <c r="J299" s="2">
        <v>4926420</v>
      </c>
      <c r="K299" s="3"/>
    </row>
    <row r="300" spans="2:11" ht="28.2" thickBot="1" x14ac:dyDescent="0.35">
      <c r="B300" s="2" t="s">
        <v>15</v>
      </c>
      <c r="C300" s="2" t="s">
        <v>10</v>
      </c>
      <c r="D300" s="2" t="s">
        <v>126</v>
      </c>
      <c r="E300" s="2" t="s">
        <v>57</v>
      </c>
      <c r="F300" s="2" t="s">
        <v>90</v>
      </c>
      <c r="G300" s="2" t="s">
        <v>59</v>
      </c>
      <c r="H300" s="2" t="s">
        <v>45</v>
      </c>
      <c r="I300" s="2">
        <v>2344</v>
      </c>
      <c r="J300" s="2">
        <v>5093820</v>
      </c>
      <c r="K300" s="3"/>
    </row>
    <row r="301" spans="2:11" ht="28.2" thickBot="1" x14ac:dyDescent="0.35">
      <c r="B301" s="2" t="s">
        <v>20</v>
      </c>
      <c r="C301" s="2" t="s">
        <v>10</v>
      </c>
      <c r="D301" s="2" t="s">
        <v>126</v>
      </c>
      <c r="E301" s="2" t="s">
        <v>22</v>
      </c>
      <c r="F301" s="2" t="s">
        <v>92</v>
      </c>
      <c r="G301" s="2" t="s">
        <v>93</v>
      </c>
      <c r="H301" s="2" t="s">
        <v>45</v>
      </c>
      <c r="I301" s="2">
        <v>6278</v>
      </c>
      <c r="J301" s="2">
        <v>5399177</v>
      </c>
      <c r="K301" s="3"/>
    </row>
    <row r="302" spans="2:11" ht="28.2" thickBot="1" x14ac:dyDescent="0.35">
      <c r="B302" s="2" t="s">
        <v>25</v>
      </c>
      <c r="C302" s="2" t="s">
        <v>10</v>
      </c>
      <c r="D302" s="2" t="s">
        <v>126</v>
      </c>
      <c r="E302" s="2" t="s">
        <v>17</v>
      </c>
      <c r="F302" s="2" t="s">
        <v>62</v>
      </c>
      <c r="G302" s="2" t="s">
        <v>39</v>
      </c>
      <c r="H302" s="2" t="s">
        <v>45</v>
      </c>
      <c r="I302" s="2">
        <v>9561</v>
      </c>
      <c r="J302" s="2">
        <v>1998444</v>
      </c>
      <c r="K302" s="3"/>
    </row>
    <row r="303" spans="2:11" ht="28.2" thickBot="1" x14ac:dyDescent="0.35">
      <c r="B303" s="2" t="s">
        <v>29</v>
      </c>
      <c r="C303" s="2" t="s">
        <v>30</v>
      </c>
      <c r="D303" s="2" t="s">
        <v>149</v>
      </c>
      <c r="E303" s="2" t="s">
        <v>12</v>
      </c>
      <c r="F303" s="2" t="s">
        <v>64</v>
      </c>
      <c r="G303" s="2" t="s">
        <v>50</v>
      </c>
      <c r="H303" s="2" t="s">
        <v>45</v>
      </c>
      <c r="I303" s="2">
        <v>2952</v>
      </c>
      <c r="J303" s="2">
        <v>3945651</v>
      </c>
      <c r="K303" s="3"/>
    </row>
    <row r="304" spans="2:11" ht="28.2" thickBot="1" x14ac:dyDescent="0.35">
      <c r="B304" s="2" t="s">
        <v>34</v>
      </c>
      <c r="C304" s="2" t="s">
        <v>30</v>
      </c>
      <c r="D304" s="2" t="s">
        <v>149</v>
      </c>
      <c r="E304" s="2" t="s">
        <v>12</v>
      </c>
      <c r="F304" s="2" t="s">
        <v>67</v>
      </c>
      <c r="G304" s="2" t="s">
        <v>50</v>
      </c>
      <c r="H304" s="2" t="s">
        <v>45</v>
      </c>
      <c r="I304" s="2">
        <v>5507</v>
      </c>
      <c r="J304" s="2">
        <v>5484132</v>
      </c>
      <c r="K304" s="3"/>
    </row>
    <row r="305" spans="2:14" ht="28.2" thickBot="1" x14ac:dyDescent="0.35">
      <c r="B305" s="2" t="s">
        <v>37</v>
      </c>
      <c r="C305" s="2" t="s">
        <v>30</v>
      </c>
      <c r="D305" s="2" t="s">
        <v>149</v>
      </c>
      <c r="E305" s="2" t="s">
        <v>26</v>
      </c>
      <c r="F305" s="2" t="s">
        <v>69</v>
      </c>
      <c r="G305" s="2" t="s">
        <v>28</v>
      </c>
      <c r="H305" s="2" t="s">
        <v>45</v>
      </c>
      <c r="I305" s="2">
        <v>9862</v>
      </c>
      <c r="J305" s="2">
        <v>3140415</v>
      </c>
      <c r="K305" s="3"/>
    </row>
    <row r="306" spans="2:14" ht="16.2" thickBot="1" x14ac:dyDescent="0.35">
      <c r="B306" s="2" t="s">
        <v>40</v>
      </c>
      <c r="C306" s="2" t="s">
        <v>30</v>
      </c>
      <c r="D306" s="2" t="s">
        <v>149</v>
      </c>
      <c r="E306" s="2" t="s">
        <v>26</v>
      </c>
      <c r="F306" s="2" t="s">
        <v>72</v>
      </c>
      <c r="G306" s="2" t="s">
        <v>28</v>
      </c>
      <c r="H306" s="2" t="s">
        <v>45</v>
      </c>
      <c r="I306" s="2">
        <v>9694</v>
      </c>
      <c r="J306" s="2">
        <v>1256384</v>
      </c>
      <c r="K306" s="3"/>
    </row>
    <row r="307" spans="2:14" ht="28.2" thickBot="1" x14ac:dyDescent="0.35">
      <c r="B307" s="2" t="s">
        <v>42</v>
      </c>
      <c r="C307" s="2" t="s">
        <v>30</v>
      </c>
      <c r="D307" s="2" t="s">
        <v>149</v>
      </c>
      <c r="E307" s="2" t="s">
        <v>12</v>
      </c>
      <c r="F307" s="2" t="s">
        <v>132</v>
      </c>
      <c r="G307" s="2" t="s">
        <v>44</v>
      </c>
      <c r="H307" s="2" t="s">
        <v>14</v>
      </c>
      <c r="I307" s="2">
        <v>6821</v>
      </c>
      <c r="J307" s="2">
        <v>3390120</v>
      </c>
      <c r="K307" s="3"/>
    </row>
    <row r="308" spans="2:14" ht="28.2" thickBot="1" x14ac:dyDescent="0.35">
      <c r="B308" s="2" t="s">
        <v>46</v>
      </c>
      <c r="C308" s="2" t="s">
        <v>30</v>
      </c>
      <c r="D308" s="2" t="s">
        <v>149</v>
      </c>
      <c r="E308" s="2" t="s">
        <v>12</v>
      </c>
      <c r="F308" s="2" t="s">
        <v>134</v>
      </c>
      <c r="G308" s="2" t="s">
        <v>50</v>
      </c>
      <c r="H308" s="2" t="s">
        <v>14</v>
      </c>
      <c r="I308" s="2">
        <v>7329</v>
      </c>
      <c r="J308" s="2">
        <v>6444114</v>
      </c>
      <c r="K308" s="3"/>
    </row>
    <row r="309" spans="2:14" ht="28.2" thickBot="1" x14ac:dyDescent="0.35">
      <c r="B309" s="2" t="s">
        <v>48</v>
      </c>
      <c r="C309" s="2" t="s">
        <v>30</v>
      </c>
      <c r="D309" s="2" t="s">
        <v>149</v>
      </c>
      <c r="E309" s="2" t="s">
        <v>22</v>
      </c>
      <c r="F309" s="2" t="s">
        <v>136</v>
      </c>
      <c r="G309" s="2" t="s">
        <v>93</v>
      </c>
      <c r="H309" s="2" t="s">
        <v>14</v>
      </c>
      <c r="I309" s="2">
        <v>6427</v>
      </c>
      <c r="J309" s="2">
        <v>1889280</v>
      </c>
      <c r="K309" s="3"/>
    </row>
    <row r="310" spans="2:14" ht="16.2" thickBot="1" x14ac:dyDescent="0.35">
      <c r="B310" s="2" t="s">
        <v>51</v>
      </c>
      <c r="C310" s="2" t="s">
        <v>30</v>
      </c>
      <c r="D310" s="2" t="s">
        <v>149</v>
      </c>
      <c r="E310" s="2" t="s">
        <v>26</v>
      </c>
      <c r="F310" s="2" t="s">
        <v>138</v>
      </c>
      <c r="G310" s="2" t="s">
        <v>139</v>
      </c>
      <c r="H310" s="2" t="s">
        <v>14</v>
      </c>
      <c r="I310" s="2">
        <v>8915</v>
      </c>
      <c r="J310" s="2">
        <v>3403326</v>
      </c>
      <c r="K310" s="3"/>
    </row>
    <row r="311" spans="2:14" ht="28.2" thickBot="1" x14ac:dyDescent="0.35">
      <c r="B311" s="2" t="s">
        <v>53</v>
      </c>
      <c r="C311" s="2" t="s">
        <v>30</v>
      </c>
      <c r="D311" s="2" t="s">
        <v>149</v>
      </c>
      <c r="E311" s="2" t="s">
        <v>17</v>
      </c>
      <c r="F311" s="2" t="s">
        <v>141</v>
      </c>
      <c r="G311" s="2" t="s">
        <v>191</v>
      </c>
      <c r="H311" s="2" t="s">
        <v>45</v>
      </c>
      <c r="I311" s="2">
        <v>4848</v>
      </c>
      <c r="J311" s="2">
        <v>7445810</v>
      </c>
      <c r="K311" s="3"/>
    </row>
    <row r="312" spans="2:14" ht="28.2" thickBot="1" x14ac:dyDescent="0.35">
      <c r="B312" s="2" t="s">
        <v>56</v>
      </c>
      <c r="C312" s="2" t="s">
        <v>30</v>
      </c>
      <c r="D312" s="2" t="s">
        <v>149</v>
      </c>
      <c r="E312" s="2" t="s">
        <v>12</v>
      </c>
      <c r="F312" s="2" t="s">
        <v>143</v>
      </c>
      <c r="G312" s="2" t="s">
        <v>144</v>
      </c>
      <c r="H312" s="2" t="s">
        <v>14</v>
      </c>
      <c r="I312" s="2">
        <v>5990</v>
      </c>
      <c r="J312" s="2">
        <v>8036326</v>
      </c>
      <c r="K312" s="3"/>
    </row>
    <row r="313" spans="2:14" ht="28.2" thickBot="1" x14ac:dyDescent="0.35">
      <c r="B313" s="2" t="s">
        <v>60</v>
      </c>
      <c r="C313" s="2" t="s">
        <v>30</v>
      </c>
      <c r="D313" s="2" t="s">
        <v>149</v>
      </c>
      <c r="E313" s="2" t="s">
        <v>12</v>
      </c>
      <c r="F313" s="2" t="s">
        <v>146</v>
      </c>
      <c r="G313" s="2" t="s">
        <v>147</v>
      </c>
      <c r="H313" s="2" t="s">
        <v>14</v>
      </c>
      <c r="I313" s="2">
        <v>6726</v>
      </c>
      <c r="J313" s="2">
        <v>6268499</v>
      </c>
      <c r="K313" s="3"/>
    </row>
    <row r="314" spans="2:14" ht="28.2" thickBot="1" x14ac:dyDescent="0.35">
      <c r="B314" s="2" t="s">
        <v>63</v>
      </c>
      <c r="C314" s="2" t="s">
        <v>30</v>
      </c>
      <c r="D314" s="2" t="s">
        <v>149</v>
      </c>
      <c r="E314" s="2" t="s">
        <v>77</v>
      </c>
      <c r="F314" s="2" t="s">
        <v>78</v>
      </c>
      <c r="G314" s="2" t="s">
        <v>79</v>
      </c>
      <c r="H314" s="2" t="s">
        <v>14</v>
      </c>
      <c r="I314" s="2">
        <v>5686</v>
      </c>
      <c r="J314" s="2">
        <v>5701962</v>
      </c>
      <c r="K314" s="3"/>
    </row>
    <row r="315" spans="2:14" ht="13.8" customHeight="1" thickBot="1" x14ac:dyDescent="0.35">
      <c r="B315" s="2" t="s">
        <v>65</v>
      </c>
      <c r="C315" s="2" t="s">
        <v>30</v>
      </c>
      <c r="D315" s="2" t="s">
        <v>162</v>
      </c>
      <c r="E315" s="2" t="s">
        <v>12</v>
      </c>
      <c r="F315" s="2" t="s">
        <v>81</v>
      </c>
      <c r="G315" s="2" t="s">
        <v>82</v>
      </c>
      <c r="H315" s="2" t="s">
        <v>14</v>
      </c>
      <c r="I315" s="2">
        <v>5246</v>
      </c>
      <c r="J315" s="2">
        <v>5302275</v>
      </c>
      <c r="K315" s="3"/>
    </row>
    <row r="316" spans="2:14" ht="16.2" thickBot="1" x14ac:dyDescent="0.35">
      <c r="B316" s="2" t="s">
        <v>9</v>
      </c>
      <c r="C316" s="2" t="s">
        <v>10</v>
      </c>
      <c r="D316" s="2" t="s">
        <v>11</v>
      </c>
      <c r="E316" s="2" t="s">
        <v>12</v>
      </c>
      <c r="F316" s="2" t="s">
        <v>13</v>
      </c>
      <c r="G316" s="2" t="s">
        <v>13</v>
      </c>
      <c r="H316" s="2" t="s">
        <v>14</v>
      </c>
      <c r="I316" s="2">
        <v>4292</v>
      </c>
      <c r="J316" s="2">
        <v>3360636</v>
      </c>
      <c r="K316" s="3"/>
    </row>
    <row r="317" spans="2:14" ht="42" thickBot="1" x14ac:dyDescent="0.35">
      <c r="B317" s="2" t="s">
        <v>15</v>
      </c>
      <c r="C317" s="2" t="s">
        <v>10</v>
      </c>
      <c r="D317" s="2" t="s">
        <v>16</v>
      </c>
      <c r="E317" s="2" t="s">
        <v>17</v>
      </c>
      <c r="F317" s="2" t="s">
        <v>18</v>
      </c>
      <c r="G317" s="2" t="s">
        <v>19</v>
      </c>
      <c r="H317" s="2" t="s">
        <v>14</v>
      </c>
      <c r="I317" s="2">
        <v>8037</v>
      </c>
      <c r="J317" s="2">
        <v>4645386</v>
      </c>
      <c r="K317" s="3"/>
    </row>
    <row r="318" spans="2:14" ht="28.2" thickBot="1" x14ac:dyDescent="0.35">
      <c r="B318" s="2" t="s">
        <v>20</v>
      </c>
      <c r="C318" s="2" t="s">
        <v>10</v>
      </c>
      <c r="D318" s="2" t="s">
        <v>21</v>
      </c>
      <c r="E318" s="2" t="s">
        <v>22</v>
      </c>
      <c r="F318" s="2" t="s">
        <v>23</v>
      </c>
      <c r="G318" s="2" t="s">
        <v>24</v>
      </c>
      <c r="H318" s="2" t="s">
        <v>14</v>
      </c>
      <c r="I318" s="2">
        <v>2415</v>
      </c>
      <c r="J318" s="2">
        <v>1523865</v>
      </c>
      <c r="K318" s="3"/>
    </row>
    <row r="319" spans="2:14" ht="16.2" thickBot="1" x14ac:dyDescent="0.35">
      <c r="B319" s="2" t="s">
        <v>25</v>
      </c>
      <c r="C319" s="2" t="s">
        <v>10</v>
      </c>
      <c r="D319" s="2" t="s">
        <v>21</v>
      </c>
      <c r="E319" s="2" t="s">
        <v>26</v>
      </c>
      <c r="F319" s="2" t="s">
        <v>27</v>
      </c>
      <c r="G319" s="2" t="s">
        <v>28</v>
      </c>
      <c r="H319" s="2" t="s">
        <v>14</v>
      </c>
      <c r="I319" s="2">
        <v>3941</v>
      </c>
      <c r="J319" s="2">
        <v>3566605</v>
      </c>
      <c r="K319" s="3"/>
    </row>
    <row r="320" spans="2:14" ht="28.2" thickBot="1" x14ac:dyDescent="0.35">
      <c r="B320" s="2" t="s">
        <v>29</v>
      </c>
      <c r="C320" s="2" t="s">
        <v>30</v>
      </c>
      <c r="D320" s="2" t="s">
        <v>31</v>
      </c>
      <c r="E320" s="2" t="s">
        <v>26</v>
      </c>
      <c r="F320" s="2" t="s">
        <v>32</v>
      </c>
      <c r="G320" s="2" t="s">
        <v>33</v>
      </c>
      <c r="H320" s="2" t="s">
        <v>14</v>
      </c>
      <c r="I320" s="2">
        <v>4607</v>
      </c>
      <c r="J320" s="2">
        <v>3745491</v>
      </c>
      <c r="K320" s="3"/>
      <c r="N320" t="s">
        <v>33</v>
      </c>
    </row>
    <row r="322" spans="10:10" x14ac:dyDescent="0.3">
      <c r="J322">
        <f>SUM(J2:J320)</f>
        <v>1327814011</v>
      </c>
    </row>
  </sheetData>
  <conditionalFormatting sqref="O1:O319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E382-8AF9-4E1D-B44F-E6EFA04CC87D}">
  <dimension ref="B1:Q50"/>
  <sheetViews>
    <sheetView topLeftCell="A16" zoomScale="85" zoomScaleNormal="85" workbookViewId="0">
      <selection activeCell="D22" sqref="D22"/>
    </sheetView>
  </sheetViews>
  <sheetFormatPr defaultRowHeight="14.4" x14ac:dyDescent="0.3"/>
  <cols>
    <col min="3" max="3" width="13.33203125" customWidth="1"/>
    <col min="4" max="4" width="11.88671875" customWidth="1"/>
    <col min="5" max="5" width="12" bestFit="1" customWidth="1"/>
    <col min="6" max="6" width="15.5546875" bestFit="1" customWidth="1"/>
    <col min="7" max="7" width="11.33203125" customWidth="1"/>
    <col min="9" max="9" width="13" customWidth="1"/>
    <col min="10" max="10" width="12.33203125" customWidth="1"/>
    <col min="11" max="11" width="11" bestFit="1" customWidth="1"/>
    <col min="15" max="15" width="18.77734375" customWidth="1"/>
    <col min="16" max="16" width="13.5546875" customWidth="1"/>
    <col min="17" max="17" width="13.6640625" customWidth="1"/>
  </cols>
  <sheetData>
    <row r="1" spans="3:17" ht="15" thickBot="1" x14ac:dyDescent="0.35"/>
    <row r="2" spans="3:17" ht="22.2" thickTop="1" thickBot="1" x14ac:dyDescent="0.45">
      <c r="C2" s="36" t="s">
        <v>409</v>
      </c>
      <c r="D2" s="37"/>
      <c r="E2" s="37"/>
      <c r="I2" s="39" t="s">
        <v>413</v>
      </c>
      <c r="J2" s="40"/>
      <c r="K2" s="38"/>
      <c r="O2" s="39" t="s">
        <v>415</v>
      </c>
      <c r="P2" s="40"/>
      <c r="Q2" s="38"/>
    </row>
    <row r="3" spans="3:17" ht="16.8" customHeight="1" thickTop="1" thickBot="1" x14ac:dyDescent="0.35">
      <c r="C3" s="22" t="s">
        <v>410</v>
      </c>
      <c r="D3" s="24">
        <f>Sheet2!D318</f>
        <v>2255458127.1999998</v>
      </c>
      <c r="E3" s="25">
        <f>D3/D5</f>
        <v>0.62944092444315258</v>
      </c>
      <c r="F3" s="22"/>
      <c r="I3" s="28" t="s">
        <v>10</v>
      </c>
      <c r="J3" s="22">
        <f>SUMIF(Sheet1!C1:C320,I3,Sheet1!J1:J320)</f>
        <v>714285428</v>
      </c>
      <c r="K3" s="25">
        <f>J3/J6</f>
        <v>0.54125784097369123</v>
      </c>
      <c r="O3" s="29" t="s">
        <v>11</v>
      </c>
      <c r="P3" s="22">
        <f>SUMIF(Sheet1!D2:D320,Sheet3!O3,Sheet1!J2:J320)</f>
        <v>317283846</v>
      </c>
      <c r="Q3" s="25">
        <f>P3/P13</f>
        <v>0.24967097603530852</v>
      </c>
    </row>
    <row r="4" spans="3:17" ht="15" customHeight="1" thickTop="1" thickBot="1" x14ac:dyDescent="0.35">
      <c r="C4" s="22" t="s">
        <v>411</v>
      </c>
      <c r="D4">
        <f>SUM(Sheet1!J2:J320)</f>
        <v>1327814011</v>
      </c>
      <c r="E4" s="35">
        <f>D4/D5</f>
        <v>0.37055907555684742</v>
      </c>
      <c r="F4" s="22"/>
      <c r="G4" s="35" t="e">
        <f>F4/F5</f>
        <v>#DIV/0!</v>
      </c>
      <c r="I4" s="28" t="s">
        <v>71</v>
      </c>
      <c r="J4" s="22">
        <f>SUMIF(Sheet1!C2:C321,Sheet1!C8,Sheet1!J2:J321)</f>
        <v>508084809</v>
      </c>
      <c r="K4" s="25">
        <f>J4/J6</f>
        <v>0.38500699576202224</v>
      </c>
      <c r="O4" s="29" t="s">
        <v>16</v>
      </c>
      <c r="P4" s="22">
        <f>SUMIF(Sheet1!D3:D321,Sheet3!O4,Sheet1!J3:J321)</f>
        <v>95807748</v>
      </c>
      <c r="Q4" s="25">
        <f>P4/P13</f>
        <v>7.5391212809822278E-2</v>
      </c>
    </row>
    <row r="5" spans="3:17" ht="15.6" thickTop="1" thickBot="1" x14ac:dyDescent="0.35">
      <c r="C5" s="30" t="s">
        <v>412</v>
      </c>
      <c r="D5" s="30">
        <f>SUM(D3:D4)</f>
        <v>3583272138.1999998</v>
      </c>
      <c r="E5" s="30"/>
      <c r="I5" s="28" t="s">
        <v>30</v>
      </c>
      <c r="J5" s="22">
        <f>SUMIF(Sheet1!C3:C322,Sheet1!C20,Sheet1!J3:J322)</f>
        <v>97306586</v>
      </c>
      <c r="K5" s="25">
        <f>J5/J6</f>
        <v>7.3735163264286557E-2</v>
      </c>
      <c r="O5" s="29" t="s">
        <v>21</v>
      </c>
      <c r="P5" s="22">
        <f>SUMIF(Sheet1!D4:D322,Sheet3!O5,Sheet1!J4:J322)</f>
        <v>103337980</v>
      </c>
      <c r="Q5" s="25">
        <f>P5/P13</f>
        <v>8.1316759908782718E-2</v>
      </c>
    </row>
    <row r="6" spans="3:17" ht="18.600000000000001" customHeight="1" thickTop="1" thickBot="1" x14ac:dyDescent="0.35">
      <c r="I6" s="30" t="s">
        <v>412</v>
      </c>
      <c r="J6" s="30">
        <f>SUM(J3:J5)</f>
        <v>1319676823</v>
      </c>
      <c r="K6" s="30" t="s">
        <v>414</v>
      </c>
      <c r="O6" s="29" t="s">
        <v>31</v>
      </c>
      <c r="P6" s="22">
        <f>SUMIF(Sheet1!D5:D323,Sheet3!O6,Sheet1!J5:J323)</f>
        <v>155228972</v>
      </c>
      <c r="Q6" s="25">
        <f>P6/P13</f>
        <v>0.12214983345920982</v>
      </c>
    </row>
    <row r="7" spans="3:17" ht="15.6" thickTop="1" thickBot="1" x14ac:dyDescent="0.35">
      <c r="O7" s="29" t="s">
        <v>61</v>
      </c>
      <c r="P7" s="22">
        <f>SUMIF(Sheet1!D6:D324,Sheet3!O7,Sheet1!J6:J324)</f>
        <v>102125422</v>
      </c>
      <c r="Q7" s="25">
        <f>P7/P13</f>
        <v>8.036259680474804E-2</v>
      </c>
    </row>
    <row r="8" spans="3:17" ht="15.6" thickTop="1" thickBot="1" x14ac:dyDescent="0.35">
      <c r="O8" s="29" t="s">
        <v>66</v>
      </c>
      <c r="P8" s="22">
        <f>SUMIF(Sheet1!D7:D325,Sheet3!O8,Sheet1!J7:J325)</f>
        <v>144374534</v>
      </c>
      <c r="Q8" s="25">
        <f>P8/P13</f>
        <v>0.11360846533114338</v>
      </c>
    </row>
    <row r="9" spans="3:17" ht="22.2" thickTop="1" thickBot="1" x14ac:dyDescent="0.45">
      <c r="C9" s="39" t="s">
        <v>417</v>
      </c>
      <c r="D9" s="40"/>
      <c r="E9" s="38"/>
      <c r="I9" s="39" t="s">
        <v>418</v>
      </c>
      <c r="J9" s="40"/>
      <c r="K9" s="38"/>
      <c r="O9" s="29" t="s">
        <v>126</v>
      </c>
      <c r="P9" s="22">
        <f>SUMIF(Sheet1!D8:D326,Sheet3!O9,Sheet1!J8:J326)</f>
        <v>94919158</v>
      </c>
      <c r="Q9" s="25">
        <f>P9/P13</f>
        <v>7.4691980449296688E-2</v>
      </c>
    </row>
    <row r="10" spans="3:17" ht="15.6" thickTop="1" thickBot="1" x14ac:dyDescent="0.35">
      <c r="C10" s="22" t="s">
        <v>12</v>
      </c>
      <c r="D10" s="22">
        <f>SUMIF(Sheet1!E2:E320,Sheet3!C10,Sheet1!J2:J320)</f>
        <v>375404654</v>
      </c>
      <c r="E10" s="25">
        <f>D10/D17</f>
        <v>0.29045849401240892</v>
      </c>
      <c r="I10" s="22" t="s">
        <v>13</v>
      </c>
      <c r="J10" s="22">
        <f>SUMIF(Sheet1!F2:F320,Sheet3!I10,Sheet1!J2:J320)</f>
        <v>61855291</v>
      </c>
      <c r="K10" s="33">
        <f>J10/J49</f>
        <v>4.6871544549358206E-2</v>
      </c>
      <c r="O10" s="29" t="s">
        <v>149</v>
      </c>
      <c r="P10" s="22">
        <f>SUMIF(Sheet1!D9:D327,Sheet3!O10,Sheet1!J9:J327)</f>
        <v>127282366</v>
      </c>
      <c r="Q10" s="25">
        <f>P10/P13</f>
        <v>0.10015862122177933</v>
      </c>
    </row>
    <row r="11" spans="3:17" ht="15.6" thickTop="1" thickBot="1" x14ac:dyDescent="0.35">
      <c r="C11" s="22" t="s">
        <v>17</v>
      </c>
      <c r="D11" s="22">
        <f>SUMIF(Sheet1!E3:E321,Sheet3!C11,Sheet1!J3:J321)</f>
        <v>343923358</v>
      </c>
      <c r="E11" s="25">
        <f>D11/D17</f>
        <v>0.26610075169811448</v>
      </c>
      <c r="I11" s="22" t="s">
        <v>18</v>
      </c>
      <c r="J11" s="22">
        <f>SUMIF(Sheet1!F3:F321,Sheet3!I11,Sheet1!J3:J321)</f>
        <v>72543594</v>
      </c>
      <c r="K11" s="33">
        <f>J11/J49</f>
        <v>5.4970726723144098E-2</v>
      </c>
      <c r="O11" s="29" t="s">
        <v>162</v>
      </c>
      <c r="P11" s="22">
        <f>SUMIF(Sheet1!D10:D328,Sheet3!O11,Sheet1!J10:J328)</f>
        <v>70556301</v>
      </c>
      <c r="Q11" s="25">
        <f>P11/P13</f>
        <v>5.5520823887488475E-2</v>
      </c>
    </row>
    <row r="12" spans="3:17" ht="15.6" thickTop="1" thickBot="1" x14ac:dyDescent="0.35">
      <c r="C12" s="22" t="s">
        <v>22</v>
      </c>
      <c r="D12" s="22">
        <f>SUMIF(Sheet1!E4:E322,Sheet3!C12,Sheet1!J4:J322)</f>
        <v>139290434</v>
      </c>
      <c r="E12" s="25">
        <f>D12/D17</f>
        <v>0.10777194491034425</v>
      </c>
      <c r="I12" s="22" t="s">
        <v>23</v>
      </c>
      <c r="J12" s="22">
        <f>SUMIF(Sheet1!F4:F322,Sheet3!I12,Sheet1!J4:J322)</f>
        <v>68735509</v>
      </c>
      <c r="K12" s="33">
        <f>J12/J49</f>
        <v>5.2085107355105832E-2</v>
      </c>
      <c r="O12" s="29" t="s">
        <v>190</v>
      </c>
      <c r="P12" s="22">
        <f>SUMIF(Sheet1!D11:D329,Sheet3!O12,Sheet1!J11:J329)</f>
        <v>59891562</v>
      </c>
      <c r="Q12" s="25">
        <f>P12/P13</f>
        <v>4.7128730092420759E-2</v>
      </c>
    </row>
    <row r="13" spans="3:17" ht="15.6" thickTop="1" thickBot="1" x14ac:dyDescent="0.35">
      <c r="C13" s="22" t="s">
        <v>26</v>
      </c>
      <c r="D13" s="22">
        <f>SUMIF(Sheet1!E5:E323,Sheet3!C13,Sheet1!J5:J323)</f>
        <v>293625942</v>
      </c>
      <c r="E13" s="25">
        <f>D13/D17</f>
        <v>0.22718458071192407</v>
      </c>
      <c r="I13" s="22" t="s">
        <v>27</v>
      </c>
      <c r="J13" s="22">
        <f>SUMIF(Sheet1!F5:F323,Sheet3!I13,Sheet1!J5:J323)</f>
        <v>60699620</v>
      </c>
      <c r="K13" s="33">
        <f>J13/J49</f>
        <v>4.5995821811898263E-2</v>
      </c>
      <c r="O13" s="30" t="s">
        <v>412</v>
      </c>
      <c r="P13" s="30">
        <f>SUM(P3:P12)</f>
        <v>1270807889</v>
      </c>
      <c r="Q13" s="30" t="s">
        <v>414</v>
      </c>
    </row>
    <row r="14" spans="3:17" ht="15.6" thickTop="1" thickBot="1" x14ac:dyDescent="0.35">
      <c r="C14" s="22" t="s">
        <v>57</v>
      </c>
      <c r="D14" s="22">
        <f>SUMIF(Sheet1!E6:E324,Sheet3!C14,Sheet1!J6:J324)</f>
        <v>113674373</v>
      </c>
      <c r="E14" s="25">
        <f>D14/D17</f>
        <v>8.7952258549743076E-2</v>
      </c>
      <c r="I14" s="22" t="s">
        <v>32</v>
      </c>
      <c r="J14" s="22">
        <f>SUMIF(Sheet1!F6:F324,Sheet3!I14,Sheet1!J6:J324)</f>
        <v>57782428</v>
      </c>
      <c r="K14" s="33">
        <f>J14/J49</f>
        <v>4.3785286664839759E-2</v>
      </c>
    </row>
    <row r="15" spans="3:17" ht="15.6" thickTop="1" thickBot="1" x14ac:dyDescent="0.35">
      <c r="C15" s="22" t="s">
        <v>77</v>
      </c>
      <c r="D15" s="22">
        <f>SUMIF(Sheet1!E7:E325,Sheet3!C15,Sheet1!J7:J325)</f>
        <v>25120992</v>
      </c>
      <c r="E15" s="25">
        <f>D15/D17</f>
        <v>1.9436641039665355E-2</v>
      </c>
      <c r="I15" s="22" t="s">
        <v>35</v>
      </c>
      <c r="J15" s="22">
        <f>SUMIF(Sheet1!F7:F325,Sheet3!I15,Sheet1!J7:J325)</f>
        <v>58891853</v>
      </c>
      <c r="K15" s="33">
        <f>J15/J49</f>
        <v>4.4625965974095162E-2</v>
      </c>
    </row>
    <row r="16" spans="3:17" ht="22.2" thickTop="1" thickBot="1" x14ac:dyDescent="0.45">
      <c r="C16" s="22" t="s">
        <v>115</v>
      </c>
      <c r="D16" s="22">
        <f>SUMIF(Sheet1!E8:E326,Sheet3!C16,Sheet1!J8:J326)</f>
        <v>1415664</v>
      </c>
      <c r="E16" s="25">
        <f>D16/D17</f>
        <v>1.0953290777998264E-3</v>
      </c>
      <c r="F16" s="38" t="s">
        <v>419</v>
      </c>
      <c r="G16" s="36"/>
      <c r="H16" s="39"/>
      <c r="I16" s="22" t="s">
        <v>38</v>
      </c>
      <c r="J16" s="22">
        <f>SUMIF(Sheet1!F8:F326,Sheet3!I16,Sheet1!J8:J326)</f>
        <v>58932728</v>
      </c>
      <c r="K16" s="25">
        <f>J16/J49</f>
        <v>4.4656939466459052E-2</v>
      </c>
    </row>
    <row r="17" spans="2:11" ht="15.6" thickTop="1" thickBot="1" x14ac:dyDescent="0.35">
      <c r="C17" s="30" t="s">
        <v>412</v>
      </c>
      <c r="D17" s="30">
        <f>SUM(D10:D16)</f>
        <v>1292455417</v>
      </c>
      <c r="E17" s="30"/>
      <c r="F17" s="34" t="s">
        <v>13</v>
      </c>
      <c r="G17" s="22">
        <f>SUMIF(Sheet1!G2:G320,Sheet3!F17,Sheet1!J2:J320)</f>
        <v>61855291</v>
      </c>
      <c r="H17" s="32">
        <f>G17/G38</f>
        <v>4.6998959231160972E-2</v>
      </c>
      <c r="I17" s="22" t="s">
        <v>41</v>
      </c>
      <c r="J17" s="22">
        <f>SUMIF(Sheet1!F9:F327,Sheet3!I17,Sheet1!J9:J327)</f>
        <v>49147370</v>
      </c>
      <c r="K17" s="25">
        <f>J17/J49</f>
        <v>3.7241974052612425E-2</v>
      </c>
    </row>
    <row r="18" spans="2:11" ht="15.6" thickTop="1" thickBot="1" x14ac:dyDescent="0.35">
      <c r="F18" s="22" t="s">
        <v>19</v>
      </c>
      <c r="G18" s="22">
        <f>SUMIF(Sheet1!G3:G321,Sheet3!F18,Sheet1!J3:J321)</f>
        <v>189861417</v>
      </c>
      <c r="H18" s="32">
        <f>G18/G38</f>
        <v>0.1442607229372416</v>
      </c>
      <c r="I18" s="22" t="s">
        <v>43</v>
      </c>
      <c r="J18" s="22">
        <f>SUMIF(Sheet1!F10:F328,Sheet3!I18,Sheet1!J10:J328)</f>
        <v>35764610</v>
      </c>
      <c r="K18" s="25">
        <f>J18/J49</f>
        <v>2.7101036690708024E-2</v>
      </c>
    </row>
    <row r="19" spans="2:11" ht="15.6" thickTop="1" thickBot="1" x14ac:dyDescent="0.35">
      <c r="F19" s="22" t="s">
        <v>24</v>
      </c>
      <c r="G19" s="22">
        <f>SUMIF(Sheet1!G4:G322,Sheet3!F19,Sheet1!J4:J322)</f>
        <v>95724317</v>
      </c>
      <c r="H19" s="32">
        <f>G19/G38</f>
        <v>7.2733362003158789E-2</v>
      </c>
      <c r="I19" s="22" t="s">
        <v>47</v>
      </c>
      <c r="J19" s="22">
        <f>SUMIF(Sheet1!F11:F329,Sheet3!I19,Sheet1!J11:J329)</f>
        <v>34908225</v>
      </c>
      <c r="K19" s="25">
        <f>J19/J49</f>
        <v>2.6452101296015561E-2</v>
      </c>
    </row>
    <row r="20" spans="2:11" ht="15.6" thickTop="1" thickBot="1" x14ac:dyDescent="0.35">
      <c r="F20" s="22" t="s">
        <v>28</v>
      </c>
      <c r="G20" s="22">
        <f>SUMIF(Sheet1!G5:G323,Sheet3!F20,Sheet1!J5:J323)</f>
        <v>134752949</v>
      </c>
      <c r="H20" s="32">
        <f>G20/G38</f>
        <v>0.10238814261385844</v>
      </c>
      <c r="I20" s="22" t="s">
        <v>49</v>
      </c>
      <c r="J20" s="22">
        <f>SUMIF(Sheet1!F12:F330,Sheet3!I20,Sheet1!J12:J330)</f>
        <v>30957279</v>
      </c>
      <c r="K20" s="25">
        <f>J20/J49</f>
        <v>2.3458227393601806E-2</v>
      </c>
    </row>
    <row r="21" spans="2:11" ht="22.2" thickTop="1" thickBot="1" x14ac:dyDescent="0.45">
      <c r="B21" s="36" t="s">
        <v>420</v>
      </c>
      <c r="C21" s="37"/>
      <c r="D21" s="37"/>
      <c r="F21" s="22" t="s">
        <v>33</v>
      </c>
      <c r="G21" s="22">
        <f>SUMIF(Sheet1!G6:G324,Sheet3!F21,Sheet1!J6:J324)</f>
        <v>73505492</v>
      </c>
      <c r="H21" s="32">
        <f>G21/G38</f>
        <v>5.58510285203319E-2</v>
      </c>
      <c r="I21" s="22" t="s">
        <v>52</v>
      </c>
      <c r="J21" s="22">
        <f>SUMIF(Sheet1!F13:F331,Sheet3!I21,Sheet1!J13:J331)</f>
        <v>44875052</v>
      </c>
      <c r="K21" s="25">
        <f>J21/J49</f>
        <v>3.400457689177739E-2</v>
      </c>
    </row>
    <row r="22" spans="2:11" ht="15.6" thickTop="1" thickBot="1" x14ac:dyDescent="0.35">
      <c r="B22" s="22" t="s">
        <v>421</v>
      </c>
      <c r="C22" s="24">
        <f>SUMIF(Sheet1!H2:H320,Sheet3!B22,Sheet1!J2:J320)</f>
        <v>809895418</v>
      </c>
      <c r="D22" s="25">
        <f>C22/C24</f>
        <v>0.61463357102494187</v>
      </c>
      <c r="F22" s="22" t="s">
        <v>36</v>
      </c>
      <c r="G22" s="22">
        <f>SUMIF(Sheet1!G7:G325,Sheet3!F22,Sheet1!J7:J325)</f>
        <v>58891853</v>
      </c>
      <c r="H22" s="32">
        <f>G22/G38</f>
        <v>4.4747276319410174E-2</v>
      </c>
      <c r="I22" s="22" t="s">
        <v>55</v>
      </c>
      <c r="J22" s="22">
        <f>SUMIF(Sheet1!F14:F332,Sheet3!I22,Sheet1!J14:J332)</f>
        <v>46415286</v>
      </c>
      <c r="K22" s="25">
        <f>J22/J49</f>
        <v>3.5171706580770949E-2</v>
      </c>
    </row>
    <row r="23" spans="2:11" ht="15.6" thickTop="1" thickBot="1" x14ac:dyDescent="0.35">
      <c r="B23" s="22" t="s">
        <v>422</v>
      </c>
      <c r="C23" s="24">
        <f>SUMIF(Sheet1!H3:H321,Sheet3!B23,Sheet1!J3:J321)</f>
        <v>507792805</v>
      </c>
      <c r="D23" s="25">
        <f>C23/C24</f>
        <v>0.38536642897505807</v>
      </c>
      <c r="F23" s="22" t="s">
        <v>39</v>
      </c>
      <c r="G23" s="22">
        <f>SUMIF(Sheet1!G8:G326,Sheet3!F23,Sheet1!J8:J326)</f>
        <v>140356520</v>
      </c>
      <c r="H23" s="32">
        <f>G23/G38</f>
        <v>0.10664585445580767</v>
      </c>
      <c r="I23" s="22" t="s">
        <v>58</v>
      </c>
      <c r="J23" s="22">
        <f>SUMIF(Sheet1!F15:F333,Sheet3!I23,Sheet1!J15:J333)</f>
        <v>57552650</v>
      </c>
      <c r="K23" s="25">
        <f>J23/J49</f>
        <v>4.3611169793197166E-2</v>
      </c>
    </row>
    <row r="24" spans="2:11" ht="15.6" thickTop="1" thickBot="1" x14ac:dyDescent="0.35">
      <c r="B24" s="30" t="s">
        <v>412</v>
      </c>
      <c r="C24" s="30">
        <f>SUM(C22:C23)</f>
        <v>1317688223</v>
      </c>
      <c r="D24" s="30"/>
      <c r="F24" s="22" t="s">
        <v>44</v>
      </c>
      <c r="G24" s="22">
        <f>SUMIF(Sheet1!G9:G327,Sheet3!F24,Sheet1!J9:J327)</f>
        <v>48895100</v>
      </c>
      <c r="H24" s="32">
        <f>G24/G38</f>
        <v>3.7151531814853783E-2</v>
      </c>
      <c r="I24" s="22" t="s">
        <v>62</v>
      </c>
      <c r="J24" s="22">
        <f>SUMIF(Sheet1!F16:F334,Sheet3!I24,Sheet1!J16:J334)</f>
        <v>46515567</v>
      </c>
      <c r="K24" s="25">
        <f>J24/J49</f>
        <v>3.5247695639798321E-2</v>
      </c>
    </row>
    <row r="25" spans="2:11" ht="15.6" thickTop="1" thickBot="1" x14ac:dyDescent="0.35">
      <c r="F25" s="22" t="s">
        <v>50</v>
      </c>
      <c r="G25" s="22">
        <f>SUMIF(Sheet1!G10:G328,Sheet3!F25,Sheet1!J10:J328)</f>
        <v>208685928</v>
      </c>
      <c r="H25" s="32">
        <f>G25/G38</f>
        <v>0.15856398480429093</v>
      </c>
      <c r="I25" s="22" t="s">
        <v>64</v>
      </c>
      <c r="J25" s="22">
        <f>SUMIF(Sheet1!F17:F335,Sheet3!I25,Sheet1!J17:J335)</f>
        <v>49285056</v>
      </c>
      <c r="K25" s="25">
        <f>J25/J49</f>
        <v>3.7346307172358366E-2</v>
      </c>
    </row>
    <row r="26" spans="2:11" ht="15.6" thickTop="1" thickBot="1" x14ac:dyDescent="0.35">
      <c r="F26" s="22" t="s">
        <v>59</v>
      </c>
      <c r="G26" s="22">
        <f>SUMIF(Sheet1!G11:G329,Sheet3!F26,Sheet1!J11:J329)</f>
        <v>85696717</v>
      </c>
      <c r="H26" s="32">
        <f>G26/G38</f>
        <v>6.5114179295144528E-2</v>
      </c>
      <c r="I26" s="22" t="s">
        <v>67</v>
      </c>
      <c r="J26" s="22">
        <f>SUMIF(Sheet1!F18:F336,Sheet3!I26,Sheet1!J18:J336)</f>
        <v>62231175</v>
      </c>
      <c r="K26" s="25">
        <f>J26/J49</f>
        <v>4.7156374890733384E-2</v>
      </c>
    </row>
    <row r="27" spans="2:11" ht="15.6" thickTop="1" thickBot="1" x14ac:dyDescent="0.35">
      <c r="F27" s="22" t="s">
        <v>79</v>
      </c>
      <c r="G27" s="22">
        <f>SUMIF(Sheet1!G12:G330,Sheet3!F27,Sheet1!J12:J330)</f>
        <v>25120992</v>
      </c>
      <c r="H27" s="32">
        <f>G27/G38</f>
        <v>1.9087461392014483E-2</v>
      </c>
      <c r="I27" s="22" t="s">
        <v>69</v>
      </c>
      <c r="J27" s="22">
        <f>SUMIF(Sheet1!F19:F337,Sheet3!I27,Sheet1!J19:J337)</f>
        <v>35088604</v>
      </c>
      <c r="K27" s="25">
        <f>J27/J49</f>
        <v>2.658878551813439E-2</v>
      </c>
    </row>
    <row r="28" spans="2:11" ht="15.6" thickTop="1" thickBot="1" x14ac:dyDescent="0.35">
      <c r="F28" s="22" t="s">
        <v>82</v>
      </c>
      <c r="G28" s="22">
        <f>SUMIF(Sheet1!G13:G331,Sheet3!F28,Sheet1!J13:J331)</f>
        <v>38884285</v>
      </c>
      <c r="H28" s="32">
        <f>G28/G38</f>
        <v>2.9545102705083776E-2</v>
      </c>
      <c r="I28" s="22" t="s">
        <v>72</v>
      </c>
      <c r="J28" s="22">
        <f>SUMIF(Sheet1!F20:F338,Sheet3!I28,Sheet1!J20:J338)</f>
        <v>38964725</v>
      </c>
      <c r="K28" s="25">
        <f>J28/J49</f>
        <v>2.9525959932691793E-2</v>
      </c>
    </row>
    <row r="29" spans="2:11" ht="15.6" thickTop="1" thickBot="1" x14ac:dyDescent="0.35">
      <c r="F29" s="22" t="s">
        <v>85</v>
      </c>
      <c r="G29" s="22">
        <f>SUMIF(Sheet1!G14:G332,Sheet3!F29,Sheet1!J14:J332)</f>
        <v>27977656</v>
      </c>
      <c r="H29" s="32">
        <f>G29/G38</f>
        <v>2.1258015158758952E-2</v>
      </c>
      <c r="I29" s="22" t="s">
        <v>78</v>
      </c>
      <c r="J29" s="22">
        <f>SUMIF(Sheet1!F21:F339,Sheet3!I29,Sheet1!J21:J339)</f>
        <v>25120992</v>
      </c>
      <c r="K29" s="25">
        <f>J29/J49</f>
        <v>1.903571507976692E-2</v>
      </c>
    </row>
    <row r="30" spans="2:11" ht="15.6" thickTop="1" thickBot="1" x14ac:dyDescent="0.35">
      <c r="F30" s="22" t="s">
        <v>93</v>
      </c>
      <c r="G30" s="22">
        <f>SUMIF(Sheet1!G15:G333,Sheet3!F30,Sheet1!J15:J333)</f>
        <v>39650597</v>
      </c>
      <c r="H30" s="32">
        <f>G30/G38</f>
        <v>3.0127362781208054E-2</v>
      </c>
      <c r="I30" s="22" t="s">
        <v>81</v>
      </c>
      <c r="J30" s="22">
        <f>SUMIF(Sheet1!F22:F340,Sheet3!I30,Sheet1!J22:J340)</f>
        <v>38884285</v>
      </c>
      <c r="K30" s="25">
        <f>J30/J49</f>
        <v>2.946500561524221E-2</v>
      </c>
    </row>
    <row r="31" spans="2:11" ht="15.6" thickTop="1" thickBot="1" x14ac:dyDescent="0.35">
      <c r="F31" s="22" t="s">
        <v>116</v>
      </c>
      <c r="G31" s="22">
        <f>SUMIF(Sheet1!G16:G334,Sheet3!F31,Sheet1!J16:J334)</f>
        <v>1415664</v>
      </c>
      <c r="H31" s="32">
        <f>G31/G38</f>
        <v>1.0756514688617708E-3</v>
      </c>
      <c r="I31" s="22" t="s">
        <v>84</v>
      </c>
      <c r="J31" s="22">
        <f>SUMIF(Sheet1!F23:F341,Sheet3!I31,Sheet1!J23:J341)</f>
        <v>27977656</v>
      </c>
      <c r="K31" s="25">
        <f>J31/J49</f>
        <v>2.1200384452004579E-2</v>
      </c>
    </row>
    <row r="32" spans="2:11" ht="15.6" thickTop="1" thickBot="1" x14ac:dyDescent="0.35">
      <c r="F32" s="22" t="s">
        <v>121</v>
      </c>
      <c r="G32" s="22">
        <f>SUMIF(Sheet1!G17:G335,Sheet3!F32,Sheet1!J17:J335)</f>
        <v>4425484</v>
      </c>
      <c r="H32" s="32">
        <f>G32/G38</f>
        <v>3.3625764058592043E-3</v>
      </c>
      <c r="I32" s="22" t="s">
        <v>87</v>
      </c>
      <c r="J32" s="22">
        <f>SUMIF(Sheet1!F24:F342,Sheet3!I32,Sheet1!J24:J342)</f>
        <v>16845582</v>
      </c>
      <c r="K32" s="25">
        <f>J32/J49</f>
        <v>1.2764929796755246E-2</v>
      </c>
    </row>
    <row r="33" spans="6:11" ht="15.6" thickTop="1" thickBot="1" x14ac:dyDescent="0.35">
      <c r="F33" s="22" t="s">
        <v>124</v>
      </c>
      <c r="G33" s="22">
        <f>SUMIF(Sheet1!G18:G336,Sheet3!F33,Sheet1!J18:J336)</f>
        <v>3915520</v>
      </c>
      <c r="H33" s="32">
        <f>G33/G38</f>
        <v>2.9750949655833873E-3</v>
      </c>
      <c r="I33" s="22" t="s">
        <v>90</v>
      </c>
      <c r="J33" s="22">
        <f>SUMIF(Sheet1!F25:F343,Sheet3!I33,Sheet1!J25:J343)</f>
        <v>25652066</v>
      </c>
      <c r="K33" s="25">
        <f>J33/J4</f>
        <v>5.0487764140179206E-2</v>
      </c>
    </row>
    <row r="34" spans="6:11" ht="15.6" thickTop="1" thickBot="1" x14ac:dyDescent="0.35">
      <c r="F34" s="22" t="s">
        <v>139</v>
      </c>
      <c r="G34" s="22">
        <f>SUMIF(Sheet1!G19:G337,Sheet3!F34,Sheet1!J19:J337)</f>
        <v>22050164</v>
      </c>
      <c r="H34" s="32">
        <f>G34/G38</f>
        <v>1.6754181285420083E-2</v>
      </c>
      <c r="I34" s="22" t="s">
        <v>92</v>
      </c>
      <c r="J34" s="22">
        <f>SUMIF(Sheet1!F26:F344,Sheet3!I34,Sheet1!J26:J344)</f>
        <v>18313462</v>
      </c>
      <c r="K34" s="25">
        <f>J34/J49</f>
        <v>1.3877232426017988E-2</v>
      </c>
    </row>
    <row r="35" spans="6:11" ht="15.6" thickTop="1" thickBot="1" x14ac:dyDescent="0.35">
      <c r="F35" s="22" t="s">
        <v>144</v>
      </c>
      <c r="G35" s="22">
        <f>SUMIF(Sheet1!G20:G338,Sheet3!F35,Sheet1!J20:J338)</f>
        <v>20220048</v>
      </c>
      <c r="H35" s="32">
        <f>G35/G38</f>
        <v>1.5363620415335497E-2</v>
      </c>
      <c r="I35" s="22" t="s">
        <v>95</v>
      </c>
      <c r="J35" s="22">
        <f>SUMIF(Sheet1!F27:F345,Sheet3!I35,Sheet1!J27:J345)</f>
        <v>10143226</v>
      </c>
      <c r="K35" s="25">
        <f>J35/J49</f>
        <v>7.6861439279819798E-3</v>
      </c>
    </row>
    <row r="36" spans="6:11" ht="15.6" thickTop="1" thickBot="1" x14ac:dyDescent="0.35">
      <c r="F36" s="22" t="s">
        <v>147</v>
      </c>
      <c r="G36" s="22">
        <f>SUMIF(Sheet1!G21:G339,Sheet3!F36,Sheet1!J21:J339)</f>
        <v>26767361</v>
      </c>
      <c r="H36" s="32">
        <f>G36/G38</f>
        <v>2.0338407402606323E-2</v>
      </c>
      <c r="I36" s="22" t="s">
        <v>97</v>
      </c>
      <c r="J36" s="22">
        <f>SUMIF(Sheet1!F28:F346,Sheet3!I36,Sheet1!J28:J346)</f>
        <v>15723064</v>
      </c>
      <c r="K36" s="25">
        <f>J36/J49</f>
        <v>1.1914329119046748E-2</v>
      </c>
    </row>
    <row r="37" spans="6:11" ht="15.6" thickTop="1" thickBot="1" x14ac:dyDescent="0.35">
      <c r="F37" s="22" t="s">
        <v>191</v>
      </c>
      <c r="G37" s="22">
        <f>SUMIF(Sheet1!G22:G340,Sheet3!F37,Sheet1!J22:J340)</f>
        <v>7445810</v>
      </c>
      <c r="H37" s="32">
        <f>G37/G38</f>
        <v>5.6574840240096952E-3</v>
      </c>
      <c r="I37" s="22" t="s">
        <v>113</v>
      </c>
      <c r="J37" s="22">
        <f>SUMIF(Sheet1!F29:F347,Sheet3!I37,Sheet1!J29:J347)</f>
        <v>4920480</v>
      </c>
      <c r="K37" s="25">
        <f>J37/J49</f>
        <v>3.7285492282984499E-3</v>
      </c>
    </row>
    <row r="38" spans="6:11" ht="15.6" thickTop="1" thickBot="1" x14ac:dyDescent="0.35">
      <c r="F38" s="30" t="s">
        <v>412</v>
      </c>
      <c r="G38" s="30">
        <f>SUM(G17:G37)</f>
        <v>1316099165</v>
      </c>
      <c r="H38" s="31"/>
      <c r="I38" s="22" t="s">
        <v>116</v>
      </c>
      <c r="J38" s="22">
        <f>SUMIF(Sheet1!F30:F348,Sheet3!I38,Sheet1!J30:J348)</f>
        <v>1415664</v>
      </c>
      <c r="K38" s="25">
        <f>J38/J49</f>
        <v>1.0727353662101861E-3</v>
      </c>
    </row>
    <row r="39" spans="6:11" ht="15.6" thickTop="1" thickBot="1" x14ac:dyDescent="0.35">
      <c r="I39" s="22" t="s">
        <v>118</v>
      </c>
      <c r="J39" s="22">
        <f>SUMIF(Sheet1!F31:F349,Sheet3!I39,Sheet1!J31:J349)</f>
        <v>2492001</v>
      </c>
      <c r="K39" s="25">
        <f>J39/J49</f>
        <v>1.8883418701974128E-3</v>
      </c>
    </row>
    <row r="40" spans="6:11" ht="15.6" thickTop="1" thickBot="1" x14ac:dyDescent="0.35">
      <c r="I40" s="22" t="s">
        <v>120</v>
      </c>
      <c r="J40" s="22">
        <f>SUMIF(Sheet1!F32:F350,Sheet3!I40,Sheet1!J32:J350)</f>
        <v>4425484</v>
      </c>
      <c r="K40" s="25">
        <f>J40/J49</f>
        <v>3.3534604252119992E-3</v>
      </c>
    </row>
    <row r="41" spans="6:11" ht="15.6" thickTop="1" thickBot="1" x14ac:dyDescent="0.35">
      <c r="I41" s="22" t="s">
        <v>123</v>
      </c>
      <c r="J41" s="22">
        <f>SUMIF(Sheet1!F33:F351,Sheet3!I41,Sheet1!J33:J351)</f>
        <v>3915520</v>
      </c>
      <c r="K41" s="25">
        <f>J41/J49</f>
        <v>2.9670294512704341E-3</v>
      </c>
    </row>
    <row r="42" spans="6:11" ht="15.6" thickTop="1" thickBot="1" x14ac:dyDescent="0.35">
      <c r="I42" s="22" t="s">
        <v>132</v>
      </c>
      <c r="J42" s="22">
        <f>SUMIF(Sheet1!F34:F352,Sheet3!I42,Sheet1!J34:J352)</f>
        <v>13130490</v>
      </c>
      <c r="K42" s="25">
        <f>J42/J49</f>
        <v>9.94977692352789E-3</v>
      </c>
    </row>
    <row r="43" spans="6:11" ht="15.6" thickTop="1" thickBot="1" x14ac:dyDescent="0.35">
      <c r="I43" s="22" t="s">
        <v>134</v>
      </c>
      <c r="J43" s="22">
        <f>SUMIF(Sheet1!F35:F353,Sheet3!I43,Sheet1!J35:J353)</f>
        <v>21337366</v>
      </c>
      <c r="K43" s="25">
        <f>J43/J49</f>
        <v>1.6168629794902446E-2</v>
      </c>
    </row>
    <row r="44" spans="6:11" ht="15.6" thickTop="1" thickBot="1" x14ac:dyDescent="0.35">
      <c r="I44" s="22" t="s">
        <v>136</v>
      </c>
      <c r="J44" s="22">
        <f>SUMIF(Sheet1!F36:F354,Sheet3!I44,Sheet1!J36:J354)</f>
        <v>21337135</v>
      </c>
      <c r="K44" s="25">
        <f>J44/J49</f>
        <v>1.6168454752046518E-2</v>
      </c>
    </row>
    <row r="45" spans="6:11" ht="15.6" thickTop="1" thickBot="1" x14ac:dyDescent="0.35">
      <c r="I45" s="22" t="s">
        <v>138</v>
      </c>
      <c r="J45" s="22">
        <f>SUMIF(Sheet1!F37:F355,Sheet3!I45,Sheet1!J37:J355)</f>
        <v>22050164</v>
      </c>
      <c r="K45" s="25">
        <f>J45/J49</f>
        <v>1.6708760520529352E-2</v>
      </c>
    </row>
    <row r="46" spans="6:11" ht="15.6" thickTop="1" thickBot="1" x14ac:dyDescent="0.35">
      <c r="I46" s="22" t="s">
        <v>141</v>
      </c>
      <c r="J46" s="22">
        <f>SUMIF(Sheet1!F38:F356,Sheet3!I46,Sheet1!J38:J356)</f>
        <v>27858155</v>
      </c>
      <c r="K46" s="25">
        <f>J46/J49</f>
        <v>2.1109831221154968E-2</v>
      </c>
    </row>
    <row r="47" spans="6:11" ht="15.6" thickTop="1" thickBot="1" x14ac:dyDescent="0.35">
      <c r="I47" s="22" t="s">
        <v>143</v>
      </c>
      <c r="J47" s="22">
        <f>SUMIF(Sheet1!F39:F357,Sheet3!I47,Sheet1!J39:J357)</f>
        <v>20220048</v>
      </c>
      <c r="K47" s="25">
        <f>J47/J49</f>
        <v>1.532196947585553E-2</v>
      </c>
    </row>
    <row r="48" spans="6:11" ht="15.6" thickTop="1" thickBot="1" x14ac:dyDescent="0.35">
      <c r="I48" s="22" t="s">
        <v>146</v>
      </c>
      <c r="J48" s="22">
        <f>SUMIF(Sheet1!F40:F358,Sheet3!I48,Sheet1!J40:J358)</f>
        <v>26767361</v>
      </c>
      <c r="K48" s="25">
        <f>J48/J49</f>
        <v>2.0283269762327256E-2</v>
      </c>
    </row>
    <row r="49" spans="9:11" ht="15.6" thickTop="1" thickBot="1" x14ac:dyDescent="0.35">
      <c r="I49" s="30" t="s">
        <v>412</v>
      </c>
      <c r="J49" s="30">
        <f>SUM(J10:J48)</f>
        <v>1319676823</v>
      </c>
      <c r="K49" s="30"/>
    </row>
    <row r="50" spans="9:11" ht="15" thickTop="1" x14ac:dyDescent="0.3"/>
  </sheetData>
  <mergeCells count="7">
    <mergeCell ref="B21:D21"/>
    <mergeCell ref="F16:H16"/>
    <mergeCell ref="C2:E2"/>
    <mergeCell ref="I2:K2"/>
    <mergeCell ref="O2:Q2"/>
    <mergeCell ref="C9:E9"/>
    <mergeCell ref="I9:K9"/>
  </mergeCells>
  <conditionalFormatting sqref="F17:F37 F39:F333">
    <cfRule type="duplicateValues" dxfId="0" priority="3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D124-5F84-41EB-BA1B-355D6A4FF03B}">
  <dimension ref="A1"/>
  <sheetViews>
    <sheetView showGridLines="0" tabSelected="1" zoomScaleNormal="100" workbookViewId="0">
      <selection activeCell="F33" sqref="F3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6C6A-FE71-4A91-9873-191D408DA877}">
  <dimension ref="A1"/>
  <sheetViews>
    <sheetView workbookViewId="0">
      <selection activeCell="R10" sqref="R1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F0DF-728D-4D69-AD93-C6FA0103B704}">
  <dimension ref="A1:E318"/>
  <sheetViews>
    <sheetView workbookViewId="0"/>
  </sheetViews>
  <sheetFormatPr defaultRowHeight="14.4" x14ac:dyDescent="0.3"/>
  <cols>
    <col min="1" max="1" width="19.33203125" customWidth="1"/>
    <col min="4" max="4" width="12.88671875" bestFit="1" customWidth="1"/>
  </cols>
  <sheetData>
    <row r="1" spans="1:5" ht="42.6" thickBot="1" x14ac:dyDescent="0.4">
      <c r="A1" s="4" t="s">
        <v>0</v>
      </c>
      <c r="B1" s="5" t="s">
        <v>192</v>
      </c>
      <c r="C1" s="5" t="s">
        <v>193</v>
      </c>
      <c r="D1" s="6" t="s">
        <v>194</v>
      </c>
      <c r="E1" s="7"/>
    </row>
    <row r="2" spans="1:5" ht="44.4" thickTop="1" thickBot="1" x14ac:dyDescent="0.4">
      <c r="A2" s="8" t="s">
        <v>9</v>
      </c>
      <c r="B2" s="9">
        <v>3305</v>
      </c>
      <c r="C2" s="9">
        <v>890</v>
      </c>
      <c r="D2" s="10">
        <v>2941450</v>
      </c>
      <c r="E2" s="7"/>
    </row>
    <row r="3" spans="1:5" ht="58.8" thickTop="1" thickBot="1" x14ac:dyDescent="0.35">
      <c r="A3" s="8" t="s">
        <v>15</v>
      </c>
      <c r="B3" s="9">
        <v>2224</v>
      </c>
      <c r="C3" s="9">
        <v>761</v>
      </c>
      <c r="D3" s="10">
        <v>1692464</v>
      </c>
      <c r="E3" s="11" t="s">
        <v>195</v>
      </c>
    </row>
    <row r="4" spans="1:5" ht="58.8" thickTop="1" thickBot="1" x14ac:dyDescent="0.4">
      <c r="A4" s="8" t="s">
        <v>20</v>
      </c>
      <c r="B4" s="9">
        <v>3349</v>
      </c>
      <c r="C4" s="9">
        <v>1383</v>
      </c>
      <c r="D4" s="10">
        <v>4631667</v>
      </c>
      <c r="E4" s="7"/>
    </row>
    <row r="5" spans="1:5" ht="44.4" thickTop="1" thickBot="1" x14ac:dyDescent="0.4">
      <c r="A5" s="8" t="s">
        <v>25</v>
      </c>
      <c r="B5" s="9">
        <v>2941</v>
      </c>
      <c r="C5" s="9">
        <v>865</v>
      </c>
      <c r="D5" s="10">
        <v>2543965</v>
      </c>
      <c r="E5" s="7"/>
    </row>
    <row r="6" spans="1:5" ht="44.4" thickTop="1" thickBot="1" x14ac:dyDescent="0.4">
      <c r="A6" s="8" t="s">
        <v>29</v>
      </c>
      <c r="B6" s="9">
        <v>6908</v>
      </c>
      <c r="C6" s="9">
        <v>1939</v>
      </c>
      <c r="D6" s="10">
        <v>13394612</v>
      </c>
      <c r="E6" s="7"/>
    </row>
    <row r="7" spans="1:5" ht="44.4" thickTop="1" thickBot="1" x14ac:dyDescent="0.4">
      <c r="A7" s="8" t="s">
        <v>34</v>
      </c>
      <c r="B7" s="9">
        <v>10555</v>
      </c>
      <c r="C7" s="9">
        <v>404</v>
      </c>
      <c r="D7" s="10">
        <v>4264220</v>
      </c>
      <c r="E7" s="7"/>
    </row>
    <row r="8" spans="1:5" ht="30" thickTop="1" thickBot="1" x14ac:dyDescent="0.4">
      <c r="A8" s="8" t="s">
        <v>37</v>
      </c>
      <c r="B8" s="9">
        <v>4773</v>
      </c>
      <c r="C8" s="9">
        <v>1241</v>
      </c>
      <c r="D8" s="10">
        <v>5923293</v>
      </c>
      <c r="E8" s="7"/>
    </row>
    <row r="9" spans="1:5" ht="30" thickTop="1" thickBot="1" x14ac:dyDescent="0.4">
      <c r="A9" s="8" t="s">
        <v>40</v>
      </c>
      <c r="B9" s="9">
        <v>1432</v>
      </c>
      <c r="C9" s="9">
        <v>1935</v>
      </c>
      <c r="D9" s="10">
        <v>2770920</v>
      </c>
      <c r="E9" s="7"/>
    </row>
    <row r="10" spans="1:5" ht="30" thickTop="1" thickBot="1" x14ac:dyDescent="0.4">
      <c r="A10" s="8" t="s">
        <v>42</v>
      </c>
      <c r="B10" s="9">
        <v>7186</v>
      </c>
      <c r="C10" s="9">
        <v>915</v>
      </c>
      <c r="D10" s="10">
        <v>6575190</v>
      </c>
      <c r="E10" s="7"/>
    </row>
    <row r="11" spans="1:5" ht="30" thickTop="1" thickBot="1" x14ac:dyDescent="0.4">
      <c r="A11" s="8" t="s">
        <v>46</v>
      </c>
      <c r="B11" s="9">
        <v>9072</v>
      </c>
      <c r="C11" s="9">
        <v>1154</v>
      </c>
      <c r="D11" s="10">
        <v>10469088</v>
      </c>
      <c r="E11" s="7"/>
    </row>
    <row r="12" spans="1:5" ht="30" thickTop="1" thickBot="1" x14ac:dyDescent="0.4">
      <c r="A12" s="8" t="s">
        <v>48</v>
      </c>
      <c r="B12" s="9">
        <v>10480</v>
      </c>
      <c r="C12" s="9">
        <v>646</v>
      </c>
      <c r="D12" s="10">
        <v>6770080</v>
      </c>
      <c r="E12" s="7"/>
    </row>
    <row r="13" spans="1:5" ht="16.8" thickTop="1" thickBot="1" x14ac:dyDescent="0.4">
      <c r="A13" s="8" t="s">
        <v>51</v>
      </c>
      <c r="B13" s="9">
        <v>10827</v>
      </c>
      <c r="C13" s="9">
        <v>1482</v>
      </c>
      <c r="D13" s="10">
        <v>16045614</v>
      </c>
      <c r="E13" s="7"/>
    </row>
    <row r="14" spans="1:5" ht="16.8" thickTop="1" thickBot="1" x14ac:dyDescent="0.4">
      <c r="A14" s="8" t="s">
        <v>53</v>
      </c>
      <c r="B14" s="9">
        <v>2753</v>
      </c>
      <c r="C14" s="9">
        <v>755</v>
      </c>
      <c r="D14" s="10">
        <v>2078515</v>
      </c>
      <c r="E14" s="7"/>
    </row>
    <row r="15" spans="1:5" ht="16.8" thickTop="1" thickBot="1" x14ac:dyDescent="0.4">
      <c r="A15" s="8" t="s">
        <v>56</v>
      </c>
      <c r="B15" s="9">
        <v>10390</v>
      </c>
      <c r="C15" s="9">
        <v>1369</v>
      </c>
      <c r="D15" s="10">
        <v>14223910</v>
      </c>
      <c r="E15" s="7"/>
    </row>
    <row r="16" spans="1:5" ht="16.8" thickTop="1" thickBot="1" x14ac:dyDescent="0.4">
      <c r="A16" s="8" t="s">
        <v>196</v>
      </c>
      <c r="B16" s="9">
        <v>2480</v>
      </c>
      <c r="C16" s="9">
        <v>1323</v>
      </c>
      <c r="D16" s="10">
        <v>3281040</v>
      </c>
      <c r="E16" s="7"/>
    </row>
    <row r="17" spans="1:5" ht="30" thickTop="1" thickBot="1" x14ac:dyDescent="0.4">
      <c r="A17" s="8" t="s">
        <v>197</v>
      </c>
      <c r="B17" s="9">
        <v>3860</v>
      </c>
      <c r="C17" s="9">
        <v>1078</v>
      </c>
      <c r="D17" s="10">
        <v>4161080</v>
      </c>
      <c r="E17" s="7"/>
    </row>
    <row r="18" spans="1:5" ht="30" thickTop="1" thickBot="1" x14ac:dyDescent="0.4">
      <c r="A18" s="8" t="s">
        <v>198</v>
      </c>
      <c r="B18" s="9">
        <v>11722</v>
      </c>
      <c r="C18" s="9">
        <v>561</v>
      </c>
      <c r="D18" s="10">
        <v>6576042</v>
      </c>
      <c r="E18" s="7"/>
    </row>
    <row r="19" spans="1:5" ht="16.8" thickTop="1" thickBot="1" x14ac:dyDescent="0.4">
      <c r="A19" s="8" t="s">
        <v>199</v>
      </c>
      <c r="B19" s="9">
        <v>4685</v>
      </c>
      <c r="C19" s="9">
        <v>801</v>
      </c>
      <c r="D19" s="10">
        <v>3752685</v>
      </c>
      <c r="E19" s="7"/>
    </row>
    <row r="20" spans="1:5" ht="16.8" thickTop="1" thickBot="1" x14ac:dyDescent="0.4">
      <c r="A20" s="8" t="s">
        <v>200</v>
      </c>
      <c r="B20" s="9">
        <v>3190</v>
      </c>
      <c r="C20" s="9">
        <v>1917</v>
      </c>
      <c r="D20" s="10">
        <v>6115230</v>
      </c>
      <c r="E20" s="7"/>
    </row>
    <row r="21" spans="1:5" ht="16.8" thickTop="1" thickBot="1" x14ac:dyDescent="0.4">
      <c r="A21" s="8" t="s">
        <v>60</v>
      </c>
      <c r="B21" s="9">
        <v>2809</v>
      </c>
      <c r="C21" s="9">
        <v>1807</v>
      </c>
      <c r="D21" s="10">
        <v>5075863</v>
      </c>
      <c r="E21" s="7"/>
    </row>
    <row r="22" spans="1:5" ht="16.8" thickTop="1" thickBot="1" x14ac:dyDescent="0.4">
      <c r="A22" s="8" t="s">
        <v>63</v>
      </c>
      <c r="B22" s="9">
        <v>5320</v>
      </c>
      <c r="C22" s="9">
        <v>1631</v>
      </c>
      <c r="D22" s="10">
        <v>8676920</v>
      </c>
      <c r="E22" s="7"/>
    </row>
    <row r="23" spans="1:5" ht="16.8" thickTop="1" thickBot="1" x14ac:dyDescent="0.4">
      <c r="A23" s="8" t="s">
        <v>65</v>
      </c>
      <c r="B23" s="9">
        <v>4962</v>
      </c>
      <c r="C23" s="9">
        <v>573</v>
      </c>
      <c r="D23" s="10">
        <v>2843226</v>
      </c>
      <c r="E23" s="7"/>
    </row>
    <row r="24" spans="1:5" ht="30" thickTop="1" thickBot="1" x14ac:dyDescent="0.4">
      <c r="A24" s="8" t="s">
        <v>68</v>
      </c>
      <c r="B24" s="9">
        <v>10703</v>
      </c>
      <c r="C24" s="9">
        <v>1716</v>
      </c>
      <c r="D24" s="10">
        <v>18366348</v>
      </c>
      <c r="E24" s="7"/>
    </row>
    <row r="25" spans="1:5" ht="30" thickTop="1" thickBot="1" x14ac:dyDescent="0.4">
      <c r="A25" s="8" t="s">
        <v>70</v>
      </c>
      <c r="B25" s="9">
        <v>3119</v>
      </c>
      <c r="C25" s="9">
        <v>741</v>
      </c>
      <c r="D25" s="10">
        <v>2311179</v>
      </c>
      <c r="E25" s="7"/>
    </row>
    <row r="26" spans="1:5" ht="30" thickTop="1" thickBot="1" x14ac:dyDescent="0.4">
      <c r="A26" s="8" t="s">
        <v>201</v>
      </c>
      <c r="B26" s="9">
        <v>8860</v>
      </c>
      <c r="C26" s="9">
        <v>343</v>
      </c>
      <c r="D26" s="10">
        <v>3038980</v>
      </c>
      <c r="E26" s="7"/>
    </row>
    <row r="27" spans="1:5" ht="30" thickTop="1" thickBot="1" x14ac:dyDescent="0.4">
      <c r="A27" s="8" t="s">
        <v>202</v>
      </c>
      <c r="B27" s="9">
        <v>6385</v>
      </c>
      <c r="C27" s="9">
        <v>452</v>
      </c>
      <c r="D27" s="10">
        <v>2886020</v>
      </c>
      <c r="E27" s="7"/>
    </row>
    <row r="28" spans="1:5" ht="16.8" thickTop="1" thickBot="1" x14ac:dyDescent="0.4">
      <c r="A28" s="8" t="s">
        <v>203</v>
      </c>
      <c r="B28" s="9">
        <v>8170</v>
      </c>
      <c r="C28" s="9">
        <v>1026</v>
      </c>
      <c r="D28" s="10">
        <v>8382420</v>
      </c>
      <c r="E28" s="7"/>
    </row>
    <row r="29" spans="1:5" ht="30" thickTop="1" thickBot="1" x14ac:dyDescent="0.4">
      <c r="A29" s="8" t="s">
        <v>204</v>
      </c>
      <c r="B29" s="9">
        <v>11264</v>
      </c>
      <c r="C29" s="9">
        <v>511</v>
      </c>
      <c r="D29" s="10">
        <v>5755904</v>
      </c>
      <c r="E29" s="7"/>
    </row>
    <row r="30" spans="1:5" ht="30" thickTop="1" thickBot="1" x14ac:dyDescent="0.4">
      <c r="A30" s="8" t="s">
        <v>205</v>
      </c>
      <c r="B30" s="9">
        <v>7496</v>
      </c>
      <c r="C30" s="9">
        <v>735</v>
      </c>
      <c r="D30" s="10">
        <v>5509560</v>
      </c>
      <c r="E30" s="7"/>
    </row>
    <row r="31" spans="1:5" ht="30" thickTop="1" thickBot="1" x14ac:dyDescent="0.4">
      <c r="A31" s="8" t="s">
        <v>206</v>
      </c>
      <c r="B31" s="9">
        <v>9782</v>
      </c>
      <c r="C31" s="9">
        <v>1280</v>
      </c>
      <c r="D31" s="10">
        <v>12520960</v>
      </c>
      <c r="E31" s="7"/>
    </row>
    <row r="32" spans="1:5" ht="16.8" thickTop="1" thickBot="1" x14ac:dyDescent="0.4">
      <c r="A32" s="8" t="s">
        <v>207</v>
      </c>
      <c r="B32" s="9">
        <v>8320</v>
      </c>
      <c r="C32" s="9">
        <v>497</v>
      </c>
      <c r="D32" s="10">
        <v>4135040</v>
      </c>
      <c r="E32" s="7"/>
    </row>
    <row r="33" spans="1:5" ht="16.8" thickTop="1" thickBot="1" x14ac:dyDescent="0.4">
      <c r="A33" s="8" t="s">
        <v>208</v>
      </c>
      <c r="B33" s="9">
        <v>1983</v>
      </c>
      <c r="C33" s="9">
        <v>1574</v>
      </c>
      <c r="D33" s="10">
        <v>3121242</v>
      </c>
      <c r="E33" s="7"/>
    </row>
    <row r="34" spans="1:5" ht="30" thickTop="1" thickBot="1" x14ac:dyDescent="0.4">
      <c r="A34" s="8" t="s">
        <v>209</v>
      </c>
      <c r="B34" s="9">
        <v>3432</v>
      </c>
      <c r="C34" s="9">
        <v>1464</v>
      </c>
      <c r="D34" s="10">
        <v>5024448</v>
      </c>
      <c r="E34" s="7"/>
    </row>
    <row r="35" spans="1:5" ht="16.8" thickTop="1" thickBot="1" x14ac:dyDescent="0.4">
      <c r="A35" s="8" t="s">
        <v>210</v>
      </c>
      <c r="B35" s="9">
        <v>11069</v>
      </c>
      <c r="C35" s="9">
        <v>1728</v>
      </c>
      <c r="D35" s="10">
        <v>19127232</v>
      </c>
      <c r="E35" s="7"/>
    </row>
    <row r="36" spans="1:5" ht="16.8" thickTop="1" thickBot="1" x14ac:dyDescent="0.4">
      <c r="A36" s="8" t="s">
        <v>211</v>
      </c>
      <c r="B36" s="9">
        <v>3904.8</v>
      </c>
      <c r="C36" s="9">
        <v>1174</v>
      </c>
      <c r="D36" s="10">
        <v>4584235.2</v>
      </c>
      <c r="E36" s="7"/>
    </row>
    <row r="37" spans="1:5" ht="16.8" thickTop="1" thickBot="1" x14ac:dyDescent="0.4">
      <c r="A37" s="8" t="s">
        <v>212</v>
      </c>
      <c r="B37" s="9">
        <v>3342</v>
      </c>
      <c r="C37" s="9">
        <v>1407</v>
      </c>
      <c r="D37" s="10">
        <v>4702194</v>
      </c>
      <c r="E37" s="7"/>
    </row>
    <row r="38" spans="1:5" ht="16.8" thickTop="1" thickBot="1" x14ac:dyDescent="0.4">
      <c r="A38" s="8" t="s">
        <v>213</v>
      </c>
      <c r="B38" s="9">
        <v>11900</v>
      </c>
      <c r="C38" s="9">
        <v>1872</v>
      </c>
      <c r="D38" s="10">
        <v>22276800</v>
      </c>
      <c r="E38" s="7"/>
    </row>
    <row r="39" spans="1:5" ht="16.8" thickTop="1" thickBot="1" x14ac:dyDescent="0.4">
      <c r="A39" s="8" t="s">
        <v>214</v>
      </c>
      <c r="B39" s="9">
        <v>4160</v>
      </c>
      <c r="C39" s="9">
        <v>1319</v>
      </c>
      <c r="D39" s="10">
        <v>5487040</v>
      </c>
      <c r="E39" s="7"/>
    </row>
    <row r="40" spans="1:5" ht="16.8" thickTop="1" thickBot="1" x14ac:dyDescent="0.4">
      <c r="A40" s="8" t="s">
        <v>215</v>
      </c>
      <c r="B40" s="9">
        <v>1941</v>
      </c>
      <c r="C40" s="9">
        <v>1583</v>
      </c>
      <c r="D40" s="10">
        <v>3072603</v>
      </c>
      <c r="E40" s="7"/>
    </row>
    <row r="41" spans="1:5" ht="16.8" thickTop="1" thickBot="1" x14ac:dyDescent="0.4">
      <c r="A41" s="8" t="s">
        <v>216</v>
      </c>
      <c r="B41" s="9">
        <v>3731</v>
      </c>
      <c r="C41" s="9">
        <v>1244</v>
      </c>
      <c r="D41" s="10">
        <v>4641364</v>
      </c>
      <c r="E41" s="7"/>
    </row>
    <row r="42" spans="1:5" ht="30" thickTop="1" thickBot="1" x14ac:dyDescent="0.4">
      <c r="A42" s="8" t="s">
        <v>217</v>
      </c>
      <c r="B42" s="9">
        <v>2433</v>
      </c>
      <c r="C42" s="9">
        <v>1486</v>
      </c>
      <c r="D42" s="10">
        <v>3615438</v>
      </c>
      <c r="E42" s="7"/>
    </row>
    <row r="43" spans="1:5" ht="30" thickTop="1" thickBot="1" x14ac:dyDescent="0.4">
      <c r="A43" s="8" t="s">
        <v>218</v>
      </c>
      <c r="B43" s="9">
        <v>2797</v>
      </c>
      <c r="C43" s="9">
        <v>1710</v>
      </c>
      <c r="D43" s="10">
        <v>4782870</v>
      </c>
      <c r="E43" s="7"/>
    </row>
    <row r="44" spans="1:5" ht="16.8" thickTop="1" thickBot="1" x14ac:dyDescent="0.4">
      <c r="A44" s="8" t="s">
        <v>219</v>
      </c>
      <c r="B44" s="9">
        <v>10047</v>
      </c>
      <c r="C44" s="9">
        <v>554</v>
      </c>
      <c r="D44" s="10">
        <v>5566038</v>
      </c>
      <c r="E44" s="7"/>
    </row>
    <row r="45" spans="1:5" ht="16.8" thickTop="1" thickBot="1" x14ac:dyDescent="0.4">
      <c r="A45" s="8" t="s">
        <v>220</v>
      </c>
      <c r="B45" s="9">
        <v>3881</v>
      </c>
      <c r="C45" s="9">
        <v>381</v>
      </c>
      <c r="D45" s="10">
        <v>1478661</v>
      </c>
      <c r="E45" s="7"/>
    </row>
    <row r="46" spans="1:5" ht="16.8" thickTop="1" thickBot="1" x14ac:dyDescent="0.4">
      <c r="A46" s="8" t="s">
        <v>221</v>
      </c>
      <c r="B46" s="9">
        <v>8289</v>
      </c>
      <c r="C46" s="9">
        <v>1792</v>
      </c>
      <c r="D46" s="10">
        <v>14853888</v>
      </c>
      <c r="E46" s="7"/>
    </row>
    <row r="47" spans="1:5" ht="30" thickTop="1" thickBot="1" x14ac:dyDescent="0.4">
      <c r="A47" s="8" t="s">
        <v>222</v>
      </c>
      <c r="B47" s="9">
        <v>4557</v>
      </c>
      <c r="C47" s="9">
        <v>1971</v>
      </c>
      <c r="D47" s="10">
        <v>8981847</v>
      </c>
      <c r="E47" s="7"/>
    </row>
    <row r="48" spans="1:5" ht="30" thickTop="1" thickBot="1" x14ac:dyDescent="0.4">
      <c r="A48" s="8" t="s">
        <v>223</v>
      </c>
      <c r="B48" s="9">
        <v>6374</v>
      </c>
      <c r="C48" s="9">
        <v>1002</v>
      </c>
      <c r="D48" s="10">
        <v>6386748</v>
      </c>
      <c r="E48" s="7"/>
    </row>
    <row r="49" spans="1:5" ht="16.8" thickTop="1" thickBot="1" x14ac:dyDescent="0.4">
      <c r="A49" s="8" t="s">
        <v>224</v>
      </c>
      <c r="B49" s="9">
        <v>9304</v>
      </c>
      <c r="C49" s="9">
        <v>603</v>
      </c>
      <c r="D49" s="10">
        <v>5610312</v>
      </c>
      <c r="E49" s="7"/>
    </row>
    <row r="50" spans="1:5" ht="16.8" thickTop="1" thickBot="1" x14ac:dyDescent="0.4">
      <c r="A50" s="8" t="s">
        <v>225</v>
      </c>
      <c r="B50" s="9">
        <v>9900</v>
      </c>
      <c r="C50" s="9">
        <v>681</v>
      </c>
      <c r="D50" s="10">
        <v>6741900</v>
      </c>
      <c r="E50" s="7"/>
    </row>
    <row r="51" spans="1:5" ht="16.8" thickTop="1" thickBot="1" x14ac:dyDescent="0.4">
      <c r="A51" s="8" t="s">
        <v>226</v>
      </c>
      <c r="B51" s="9">
        <v>8209</v>
      </c>
      <c r="C51" s="9">
        <v>773</v>
      </c>
      <c r="D51" s="10">
        <v>6345557</v>
      </c>
      <c r="E51" s="7"/>
    </row>
    <row r="52" spans="1:5" ht="16.8" thickTop="1" thickBot="1" x14ac:dyDescent="0.4">
      <c r="A52" s="8" t="s">
        <v>227</v>
      </c>
      <c r="B52" s="9">
        <v>7796</v>
      </c>
      <c r="C52" s="9">
        <v>976</v>
      </c>
      <c r="D52" s="10">
        <v>7608896</v>
      </c>
      <c r="E52" s="7"/>
    </row>
    <row r="53" spans="1:5" ht="16.8" thickTop="1" thickBot="1" x14ac:dyDescent="0.4">
      <c r="A53" s="8" t="s">
        <v>228</v>
      </c>
      <c r="B53" s="9">
        <v>7699</v>
      </c>
      <c r="C53" s="9">
        <v>1244</v>
      </c>
      <c r="D53" s="10">
        <v>9577556</v>
      </c>
      <c r="E53" s="7"/>
    </row>
    <row r="54" spans="1:5" ht="30" thickTop="1" thickBot="1" x14ac:dyDescent="0.4">
      <c r="A54" s="8" t="s">
        <v>229</v>
      </c>
      <c r="B54" s="9">
        <v>4354</v>
      </c>
      <c r="C54" s="9">
        <v>900</v>
      </c>
      <c r="D54" s="10">
        <v>3918600</v>
      </c>
      <c r="E54" s="7"/>
    </row>
    <row r="55" spans="1:5" ht="16.8" thickTop="1" thickBot="1" x14ac:dyDescent="0.4">
      <c r="A55" s="8" t="s">
        <v>230</v>
      </c>
      <c r="B55" s="9">
        <v>11462</v>
      </c>
      <c r="C55" s="9">
        <v>1622</v>
      </c>
      <c r="D55" s="10">
        <v>18591364</v>
      </c>
      <c r="E55" s="7"/>
    </row>
    <row r="56" spans="1:5" ht="30" thickTop="1" thickBot="1" x14ac:dyDescent="0.4">
      <c r="A56" s="8" t="s">
        <v>231</v>
      </c>
      <c r="B56" s="9">
        <v>11578</v>
      </c>
      <c r="C56" s="9">
        <v>727</v>
      </c>
      <c r="D56" s="10">
        <v>8417206</v>
      </c>
      <c r="E56" s="7"/>
    </row>
    <row r="57" spans="1:5" ht="16.8" thickTop="1" thickBot="1" x14ac:dyDescent="0.4">
      <c r="A57" s="8" t="s">
        <v>232</v>
      </c>
      <c r="B57" s="9">
        <v>2685</v>
      </c>
      <c r="C57" s="9">
        <v>1911</v>
      </c>
      <c r="D57" s="10">
        <v>5131035</v>
      </c>
      <c r="E57" s="7"/>
    </row>
    <row r="58" spans="1:5" ht="16.8" thickTop="1" thickBot="1" x14ac:dyDescent="0.4">
      <c r="A58" s="8" t="s">
        <v>233</v>
      </c>
      <c r="B58" s="9">
        <v>1661</v>
      </c>
      <c r="C58" s="9">
        <v>1895</v>
      </c>
      <c r="D58" s="10">
        <v>3147595</v>
      </c>
      <c r="E58" s="7"/>
    </row>
    <row r="59" spans="1:5" ht="16.8" thickTop="1" thickBot="1" x14ac:dyDescent="0.4">
      <c r="A59" s="8" t="s">
        <v>234</v>
      </c>
      <c r="B59" s="9">
        <v>6317</v>
      </c>
      <c r="C59" s="9">
        <v>1449</v>
      </c>
      <c r="D59" s="10">
        <v>9153333</v>
      </c>
      <c r="E59" s="7"/>
    </row>
    <row r="60" spans="1:5" ht="30" thickTop="1" thickBot="1" x14ac:dyDescent="0.4">
      <c r="A60" s="8" t="s">
        <v>235</v>
      </c>
      <c r="B60" s="9">
        <v>2589</v>
      </c>
      <c r="C60" s="9">
        <v>1667</v>
      </c>
      <c r="D60" s="10">
        <v>4315863</v>
      </c>
      <c r="E60" s="7"/>
    </row>
    <row r="61" spans="1:5" ht="30" thickTop="1" thickBot="1" x14ac:dyDescent="0.4">
      <c r="A61" s="8" t="s">
        <v>236</v>
      </c>
      <c r="B61" s="9">
        <v>4158</v>
      </c>
      <c r="C61" s="9">
        <v>1564</v>
      </c>
      <c r="D61" s="10">
        <v>6503112</v>
      </c>
      <c r="E61" s="7"/>
    </row>
    <row r="62" spans="1:5" ht="16.8" thickTop="1" thickBot="1" x14ac:dyDescent="0.4">
      <c r="A62" s="8" t="s">
        <v>237</v>
      </c>
      <c r="B62" s="9">
        <v>2948</v>
      </c>
      <c r="C62" s="9">
        <v>1961</v>
      </c>
      <c r="D62" s="10">
        <v>5781028</v>
      </c>
      <c r="E62" s="7"/>
    </row>
    <row r="63" spans="1:5" ht="16.8" thickTop="1" thickBot="1" x14ac:dyDescent="0.4">
      <c r="A63" s="8" t="s">
        <v>238</v>
      </c>
      <c r="B63" s="9">
        <v>7707</v>
      </c>
      <c r="C63" s="9">
        <v>338</v>
      </c>
      <c r="D63" s="10">
        <v>2604966</v>
      </c>
      <c r="E63" s="7"/>
    </row>
    <row r="64" spans="1:5" ht="30" thickTop="1" thickBot="1" x14ac:dyDescent="0.4">
      <c r="A64" s="8" t="s">
        <v>239</v>
      </c>
      <c r="B64" s="9">
        <v>9084</v>
      </c>
      <c r="C64" s="9">
        <v>430</v>
      </c>
      <c r="D64" s="10">
        <v>3906120</v>
      </c>
      <c r="E64" s="7"/>
    </row>
    <row r="65" spans="1:5" ht="16.8" thickTop="1" thickBot="1" x14ac:dyDescent="0.4">
      <c r="A65" s="8" t="s">
        <v>240</v>
      </c>
      <c r="B65" s="12">
        <v>5580</v>
      </c>
      <c r="C65" s="9">
        <v>1110</v>
      </c>
      <c r="D65" s="10">
        <v>6193800</v>
      </c>
      <c r="E65" s="7"/>
    </row>
    <row r="66" spans="1:5" ht="30" thickTop="1" thickBot="1" x14ac:dyDescent="0.4">
      <c r="A66" s="8" t="s">
        <v>241</v>
      </c>
      <c r="B66" s="9">
        <v>5479</v>
      </c>
      <c r="C66" s="9">
        <v>1806</v>
      </c>
      <c r="D66" s="10">
        <v>9895074</v>
      </c>
      <c r="E66" s="7"/>
    </row>
    <row r="67" spans="1:5" ht="16.8" thickTop="1" thickBot="1" x14ac:dyDescent="0.4">
      <c r="A67" s="8" t="s">
        <v>242</v>
      </c>
      <c r="B67" s="9">
        <v>7985</v>
      </c>
      <c r="C67" s="9">
        <v>714</v>
      </c>
      <c r="D67" s="10">
        <v>5701290</v>
      </c>
      <c r="E67" s="7"/>
    </row>
    <row r="68" spans="1:5" ht="30" thickTop="1" thickBot="1" x14ac:dyDescent="0.4">
      <c r="A68" s="8" t="s">
        <v>243</v>
      </c>
      <c r="B68" s="9">
        <v>9242</v>
      </c>
      <c r="C68" s="9">
        <v>1278</v>
      </c>
      <c r="D68" s="10">
        <v>11811276</v>
      </c>
      <c r="E68" s="7"/>
    </row>
    <row r="69" spans="1:5" ht="16.8" thickTop="1" thickBot="1" x14ac:dyDescent="0.4">
      <c r="A69" s="8" t="s">
        <v>244</v>
      </c>
      <c r="B69" s="9">
        <v>9614</v>
      </c>
      <c r="C69" s="9">
        <v>418</v>
      </c>
      <c r="D69" s="10">
        <v>4018652</v>
      </c>
      <c r="E69" s="7"/>
    </row>
    <row r="70" spans="1:5" ht="30" thickTop="1" thickBot="1" x14ac:dyDescent="0.4">
      <c r="A70" s="8" t="s">
        <v>245</v>
      </c>
      <c r="B70" s="9">
        <v>11466</v>
      </c>
      <c r="C70" s="9">
        <v>1606</v>
      </c>
      <c r="D70" s="10">
        <v>18414396</v>
      </c>
      <c r="E70" s="7"/>
    </row>
    <row r="71" spans="1:5" ht="16.8" thickTop="1" thickBot="1" x14ac:dyDescent="0.4">
      <c r="A71" s="8" t="s">
        <v>246</v>
      </c>
      <c r="B71" s="9">
        <v>7411</v>
      </c>
      <c r="C71" s="9">
        <v>757</v>
      </c>
      <c r="D71" s="10">
        <v>5610127</v>
      </c>
      <c r="E71" s="7"/>
    </row>
    <row r="72" spans="1:5" ht="16.8" thickTop="1" thickBot="1" x14ac:dyDescent="0.4">
      <c r="A72" s="8" t="s">
        <v>247</v>
      </c>
      <c r="B72" s="9">
        <v>9953</v>
      </c>
      <c r="C72" s="9">
        <v>1489</v>
      </c>
      <c r="D72" s="10">
        <v>14820017</v>
      </c>
      <c r="E72" s="7"/>
    </row>
    <row r="73" spans="1:5" ht="16.8" thickTop="1" thickBot="1" x14ac:dyDescent="0.4">
      <c r="A73" s="8" t="s">
        <v>248</v>
      </c>
      <c r="B73" s="9">
        <v>1382</v>
      </c>
      <c r="C73" s="9">
        <v>1706</v>
      </c>
      <c r="D73" s="10">
        <v>2357692</v>
      </c>
      <c r="E73" s="7"/>
    </row>
    <row r="74" spans="1:5" ht="30" thickTop="1" thickBot="1" x14ac:dyDescent="0.4">
      <c r="A74" s="8" t="s">
        <v>249</v>
      </c>
      <c r="B74" s="9">
        <v>7508</v>
      </c>
      <c r="C74" s="9">
        <v>1642</v>
      </c>
      <c r="D74" s="10">
        <v>12328136</v>
      </c>
      <c r="E74" s="7"/>
    </row>
    <row r="75" spans="1:5" ht="30" thickTop="1" thickBot="1" x14ac:dyDescent="0.4">
      <c r="A75" s="8" t="s">
        <v>250</v>
      </c>
      <c r="B75" s="9">
        <v>3200</v>
      </c>
      <c r="C75" s="9">
        <v>740</v>
      </c>
      <c r="D75" s="10">
        <v>2368000</v>
      </c>
      <c r="E75" s="7"/>
    </row>
    <row r="76" spans="1:5" ht="16.8" thickTop="1" thickBot="1" x14ac:dyDescent="0.4">
      <c r="A76" s="8" t="s">
        <v>251</v>
      </c>
      <c r="B76" s="9">
        <v>7963</v>
      </c>
      <c r="C76" s="9">
        <v>1439</v>
      </c>
      <c r="D76" s="10">
        <v>11458757</v>
      </c>
      <c r="E76" s="7"/>
    </row>
    <row r="77" spans="1:5" ht="30" thickTop="1" thickBot="1" x14ac:dyDescent="0.4">
      <c r="A77" s="8" t="s">
        <v>252</v>
      </c>
      <c r="B77" s="9">
        <v>4198</v>
      </c>
      <c r="C77" s="9">
        <v>469</v>
      </c>
      <c r="D77" s="10">
        <v>1968862</v>
      </c>
      <c r="E77" s="7"/>
    </row>
    <row r="78" spans="1:5" ht="16.8" thickTop="1" thickBot="1" x14ac:dyDescent="0.4">
      <c r="A78" s="8" t="s">
        <v>253</v>
      </c>
      <c r="B78" s="9">
        <v>6088</v>
      </c>
      <c r="C78" s="9">
        <v>682</v>
      </c>
      <c r="D78" s="10">
        <v>4152016</v>
      </c>
      <c r="E78" s="7"/>
    </row>
    <row r="79" spans="1:5" ht="30" thickTop="1" thickBot="1" x14ac:dyDescent="0.4">
      <c r="A79" s="8" t="s">
        <v>254</v>
      </c>
      <c r="B79" s="9">
        <v>5951</v>
      </c>
      <c r="C79" s="9">
        <v>1885</v>
      </c>
      <c r="D79" s="10">
        <v>11217635</v>
      </c>
      <c r="E79" s="7"/>
    </row>
    <row r="80" spans="1:5" ht="30" thickTop="1" thickBot="1" x14ac:dyDescent="0.4">
      <c r="A80" s="8" t="s">
        <v>255</v>
      </c>
      <c r="B80" s="9">
        <v>9250</v>
      </c>
      <c r="C80" s="9">
        <v>753</v>
      </c>
      <c r="D80" s="10">
        <v>6965250</v>
      </c>
      <c r="E80" s="7"/>
    </row>
    <row r="81" spans="1:5" ht="16.8" thickTop="1" thickBot="1" x14ac:dyDescent="0.4">
      <c r="A81" s="8" t="s">
        <v>256</v>
      </c>
      <c r="B81" s="9">
        <v>9502</v>
      </c>
      <c r="C81" s="9">
        <v>522</v>
      </c>
      <c r="D81" s="10">
        <v>4960044</v>
      </c>
      <c r="E81" s="7"/>
    </row>
    <row r="82" spans="1:5" ht="30" thickTop="1" thickBot="1" x14ac:dyDescent="0.4">
      <c r="A82" s="8" t="s">
        <v>257</v>
      </c>
      <c r="B82" s="9">
        <v>5733</v>
      </c>
      <c r="C82" s="9">
        <v>457</v>
      </c>
      <c r="D82" s="10">
        <v>2619981</v>
      </c>
      <c r="E82" s="7"/>
    </row>
    <row r="83" spans="1:5" ht="16.8" thickTop="1" thickBot="1" x14ac:dyDescent="0.4">
      <c r="A83" s="8" t="s">
        <v>258</v>
      </c>
      <c r="B83" s="9">
        <v>11970</v>
      </c>
      <c r="C83" s="9">
        <v>851</v>
      </c>
      <c r="D83" s="10">
        <v>10186470</v>
      </c>
      <c r="E83" s="7"/>
    </row>
    <row r="84" spans="1:5" ht="16.8" thickTop="1" thickBot="1" x14ac:dyDescent="0.4">
      <c r="A84" s="8" t="s">
        <v>259</v>
      </c>
      <c r="B84" s="9">
        <v>10139</v>
      </c>
      <c r="C84" s="9">
        <v>835</v>
      </c>
      <c r="D84" s="10">
        <v>8466065</v>
      </c>
      <c r="E84" s="7"/>
    </row>
    <row r="85" spans="1:5" ht="16.8" thickTop="1" thickBot="1" x14ac:dyDescent="0.4">
      <c r="A85" s="8" t="s">
        <v>260</v>
      </c>
      <c r="B85" s="9">
        <v>10212</v>
      </c>
      <c r="C85" s="9">
        <v>1688</v>
      </c>
      <c r="D85" s="10">
        <v>17237856</v>
      </c>
      <c r="E85" s="7"/>
    </row>
    <row r="86" spans="1:5" ht="16.8" thickTop="1" thickBot="1" x14ac:dyDescent="0.4">
      <c r="A86" s="8" t="s">
        <v>261</v>
      </c>
      <c r="B86" s="9">
        <v>1637</v>
      </c>
      <c r="C86" s="9">
        <v>567</v>
      </c>
      <c r="D86" s="10">
        <v>928179</v>
      </c>
      <c r="E86" s="7"/>
    </row>
    <row r="87" spans="1:5" ht="30" thickTop="1" thickBot="1" x14ac:dyDescent="0.4">
      <c r="A87" s="8" t="s">
        <v>262</v>
      </c>
      <c r="B87" s="9">
        <v>11140</v>
      </c>
      <c r="C87" s="9">
        <v>1455</v>
      </c>
      <c r="D87" s="10">
        <v>16208700</v>
      </c>
      <c r="E87" s="7"/>
    </row>
    <row r="88" spans="1:5" ht="30" thickTop="1" thickBot="1" x14ac:dyDescent="0.4">
      <c r="A88" s="8" t="s">
        <v>263</v>
      </c>
      <c r="B88" s="9">
        <v>1232</v>
      </c>
      <c r="C88" s="9">
        <v>1341</v>
      </c>
      <c r="D88" s="10">
        <v>1652112</v>
      </c>
      <c r="E88" s="7"/>
    </row>
    <row r="89" spans="1:5" ht="16.8" thickTop="1" thickBot="1" x14ac:dyDescent="0.4">
      <c r="A89" s="8" t="s">
        <v>264</v>
      </c>
      <c r="B89" s="9">
        <v>2719</v>
      </c>
      <c r="C89" s="9">
        <v>1134</v>
      </c>
      <c r="D89" s="10">
        <v>3083346</v>
      </c>
      <c r="E89" s="7"/>
    </row>
    <row r="90" spans="1:5" ht="30" thickTop="1" thickBot="1" x14ac:dyDescent="0.4">
      <c r="A90" s="8" t="s">
        <v>265</v>
      </c>
      <c r="B90" s="9">
        <v>1978</v>
      </c>
      <c r="C90" s="9">
        <v>1827</v>
      </c>
      <c r="D90" s="10">
        <v>3613806</v>
      </c>
      <c r="E90" s="7"/>
    </row>
    <row r="91" spans="1:5" ht="30" thickTop="1" thickBot="1" x14ac:dyDescent="0.4">
      <c r="A91" s="8" t="s">
        <v>266</v>
      </c>
      <c r="B91" s="9">
        <v>4873</v>
      </c>
      <c r="C91" s="9">
        <v>1245</v>
      </c>
      <c r="D91" s="10">
        <v>6066885</v>
      </c>
      <c r="E91" s="7"/>
    </row>
    <row r="92" spans="1:5" ht="16.8" thickTop="1" thickBot="1" x14ac:dyDescent="0.4">
      <c r="A92" s="8" t="s">
        <v>267</v>
      </c>
      <c r="B92" s="9">
        <v>9587</v>
      </c>
      <c r="C92" s="9">
        <v>1542</v>
      </c>
      <c r="D92" s="10">
        <v>14783154</v>
      </c>
      <c r="E92" s="7"/>
    </row>
    <row r="93" spans="1:5" ht="30" thickTop="1" thickBot="1" x14ac:dyDescent="0.4">
      <c r="A93" s="8" t="s">
        <v>268</v>
      </c>
      <c r="B93" s="9">
        <v>7286</v>
      </c>
      <c r="C93" s="9">
        <v>1354</v>
      </c>
      <c r="D93" s="10">
        <v>9865244</v>
      </c>
      <c r="E93" s="7"/>
    </row>
    <row r="94" spans="1:5" ht="30" thickTop="1" thickBot="1" x14ac:dyDescent="0.4">
      <c r="A94" s="8" t="s">
        <v>269</v>
      </c>
      <c r="B94" s="9">
        <v>2136</v>
      </c>
      <c r="C94" s="9">
        <v>334</v>
      </c>
      <c r="D94" s="10">
        <v>713424</v>
      </c>
      <c r="E94" s="7"/>
    </row>
    <row r="95" spans="1:5" ht="30" thickTop="1" thickBot="1" x14ac:dyDescent="0.4">
      <c r="A95" s="8" t="s">
        <v>270</v>
      </c>
      <c r="B95" s="9">
        <v>3541</v>
      </c>
      <c r="C95" s="9">
        <v>554</v>
      </c>
      <c r="D95" s="10">
        <v>1961714</v>
      </c>
      <c r="E95" s="7"/>
    </row>
    <row r="96" spans="1:5" ht="16.8" thickTop="1" thickBot="1" x14ac:dyDescent="0.4">
      <c r="A96" s="8" t="s">
        <v>271</v>
      </c>
      <c r="B96" s="9">
        <v>9750</v>
      </c>
      <c r="C96" s="9">
        <v>1741</v>
      </c>
      <c r="D96" s="10">
        <v>16974750</v>
      </c>
      <c r="E96" s="7"/>
    </row>
    <row r="97" spans="1:5" ht="30" thickTop="1" thickBot="1" x14ac:dyDescent="0.4">
      <c r="A97" s="8" t="s">
        <v>272</v>
      </c>
      <c r="B97" s="9">
        <v>3030</v>
      </c>
      <c r="C97" s="9">
        <v>491</v>
      </c>
      <c r="D97" s="10">
        <v>1487730</v>
      </c>
      <c r="E97" s="7"/>
    </row>
    <row r="98" spans="1:5" ht="30" thickTop="1" thickBot="1" x14ac:dyDescent="0.4">
      <c r="A98" s="8" t="s">
        <v>273</v>
      </c>
      <c r="B98" s="9">
        <v>9001</v>
      </c>
      <c r="C98" s="9">
        <v>588</v>
      </c>
      <c r="D98" s="10">
        <v>5292588</v>
      </c>
      <c r="E98" s="7"/>
    </row>
    <row r="99" spans="1:5" ht="16.8" thickTop="1" thickBot="1" x14ac:dyDescent="0.4">
      <c r="A99" s="8" t="s">
        <v>274</v>
      </c>
      <c r="B99" s="9">
        <v>5269</v>
      </c>
      <c r="C99" s="9">
        <v>1925</v>
      </c>
      <c r="D99" s="10">
        <v>10142825</v>
      </c>
      <c r="E99" s="7"/>
    </row>
    <row r="100" spans="1:5" ht="16.8" thickTop="1" thickBot="1" x14ac:dyDescent="0.4">
      <c r="A100" s="8" t="s">
        <v>275</v>
      </c>
      <c r="B100" s="9">
        <v>9929</v>
      </c>
      <c r="C100" s="9">
        <v>1112</v>
      </c>
      <c r="D100" s="10">
        <v>11041048</v>
      </c>
      <c r="E100" s="7"/>
    </row>
    <row r="101" spans="1:5" ht="30" thickTop="1" thickBot="1" x14ac:dyDescent="0.4">
      <c r="A101" s="8" t="s">
        <v>276</v>
      </c>
      <c r="B101" s="9">
        <v>10017</v>
      </c>
      <c r="C101" s="9">
        <v>992</v>
      </c>
      <c r="D101" s="10">
        <v>9936864</v>
      </c>
      <c r="E101" s="7"/>
    </row>
    <row r="102" spans="1:5" ht="16.8" thickTop="1" thickBot="1" x14ac:dyDescent="0.4">
      <c r="A102" s="8" t="s">
        <v>277</v>
      </c>
      <c r="B102" s="9">
        <v>6608</v>
      </c>
      <c r="C102" s="9">
        <v>791</v>
      </c>
      <c r="D102" s="10">
        <v>5226928</v>
      </c>
      <c r="E102" s="7"/>
    </row>
    <row r="103" spans="1:5" ht="30" thickTop="1" thickBot="1" x14ac:dyDescent="0.4">
      <c r="A103" s="8" t="s">
        <v>278</v>
      </c>
      <c r="B103" s="9">
        <v>10755</v>
      </c>
      <c r="C103" s="9">
        <v>727</v>
      </c>
      <c r="D103" s="10">
        <v>7818885</v>
      </c>
      <c r="E103" s="7"/>
    </row>
    <row r="104" spans="1:5" ht="16.8" thickTop="1" thickBot="1" x14ac:dyDescent="0.4">
      <c r="A104" s="8" t="s">
        <v>279</v>
      </c>
      <c r="B104" s="9">
        <v>8509</v>
      </c>
      <c r="C104" s="9">
        <v>901</v>
      </c>
      <c r="D104" s="10">
        <v>7666609</v>
      </c>
      <c r="E104" s="7"/>
    </row>
    <row r="105" spans="1:5" ht="30" thickTop="1" thickBot="1" x14ac:dyDescent="0.4">
      <c r="A105" s="8" t="s">
        <v>280</v>
      </c>
      <c r="B105" s="9">
        <v>7371</v>
      </c>
      <c r="C105" s="9">
        <v>1793</v>
      </c>
      <c r="D105" s="10">
        <v>13216203</v>
      </c>
      <c r="E105" s="7"/>
    </row>
    <row r="106" spans="1:5" ht="16.8" thickTop="1" thickBot="1" x14ac:dyDescent="0.4">
      <c r="A106" s="8" t="s">
        <v>281</v>
      </c>
      <c r="B106" s="9">
        <v>5066</v>
      </c>
      <c r="C106" s="9">
        <v>1011</v>
      </c>
      <c r="D106" s="10">
        <v>5121726</v>
      </c>
      <c r="E106" s="7"/>
    </row>
    <row r="107" spans="1:5" ht="30" thickTop="1" thickBot="1" x14ac:dyDescent="0.4">
      <c r="A107" s="8" t="s">
        <v>282</v>
      </c>
      <c r="B107" s="9">
        <v>3007</v>
      </c>
      <c r="C107" s="9">
        <v>1011</v>
      </c>
      <c r="D107" s="10">
        <v>3040077</v>
      </c>
      <c r="E107" s="7"/>
    </row>
    <row r="108" spans="1:5" ht="30" thickTop="1" thickBot="1" x14ac:dyDescent="0.4">
      <c r="A108" s="8" t="s">
        <v>283</v>
      </c>
      <c r="B108" s="9">
        <v>1321</v>
      </c>
      <c r="C108" s="9">
        <v>434</v>
      </c>
      <c r="D108" s="10">
        <v>573314</v>
      </c>
      <c r="E108" s="7"/>
    </row>
    <row r="109" spans="1:5" ht="16.8" thickTop="1" thickBot="1" x14ac:dyDescent="0.4">
      <c r="A109" s="8" t="s">
        <v>284</v>
      </c>
      <c r="B109" s="9">
        <v>9737</v>
      </c>
      <c r="C109" s="9">
        <v>676</v>
      </c>
      <c r="D109" s="10">
        <v>6582212</v>
      </c>
      <c r="E109" s="7"/>
    </row>
    <row r="110" spans="1:5" ht="30" thickTop="1" thickBot="1" x14ac:dyDescent="0.4">
      <c r="A110" s="8" t="s">
        <v>285</v>
      </c>
      <c r="B110" s="9">
        <v>7149</v>
      </c>
      <c r="C110" s="9">
        <v>1128</v>
      </c>
      <c r="D110" s="10">
        <v>8064072</v>
      </c>
      <c r="E110" s="7"/>
    </row>
    <row r="111" spans="1:5" ht="16.8" thickTop="1" thickBot="1" x14ac:dyDescent="0.4">
      <c r="A111" s="8" t="s">
        <v>286</v>
      </c>
      <c r="B111" s="9">
        <v>2336</v>
      </c>
      <c r="C111" s="9">
        <v>1226</v>
      </c>
      <c r="D111" s="10">
        <v>2863936</v>
      </c>
      <c r="E111" s="7"/>
    </row>
    <row r="112" spans="1:5" ht="30" thickTop="1" thickBot="1" x14ac:dyDescent="0.4">
      <c r="A112" s="8" t="s">
        <v>287</v>
      </c>
      <c r="B112" s="9">
        <v>9640</v>
      </c>
      <c r="C112" s="9">
        <v>900</v>
      </c>
      <c r="D112" s="10">
        <v>8676000</v>
      </c>
      <c r="E112" s="7"/>
    </row>
    <row r="113" spans="1:5" ht="16.8" thickTop="1" thickBot="1" x14ac:dyDescent="0.4">
      <c r="A113" s="8" t="s">
        <v>148</v>
      </c>
      <c r="B113" s="9">
        <v>3051</v>
      </c>
      <c r="C113" s="9">
        <v>953</v>
      </c>
      <c r="D113" s="10">
        <v>2907603</v>
      </c>
      <c r="E113" s="7"/>
    </row>
    <row r="114" spans="1:5" ht="16.8" thickTop="1" thickBot="1" x14ac:dyDescent="0.4">
      <c r="A114" s="8" t="s">
        <v>288</v>
      </c>
      <c r="B114" s="9">
        <v>8990</v>
      </c>
      <c r="C114" s="9">
        <v>1161</v>
      </c>
      <c r="D114" s="10">
        <v>10437390</v>
      </c>
      <c r="E114" s="7"/>
    </row>
    <row r="115" spans="1:5" ht="16.8" thickTop="1" thickBot="1" x14ac:dyDescent="0.4">
      <c r="A115" s="8" t="s">
        <v>289</v>
      </c>
      <c r="B115" s="9">
        <v>10722</v>
      </c>
      <c r="C115" s="9">
        <v>1868</v>
      </c>
      <c r="D115" s="10">
        <v>20028696</v>
      </c>
      <c r="E115" s="7"/>
    </row>
    <row r="116" spans="1:5" ht="30" thickTop="1" thickBot="1" x14ac:dyDescent="0.4">
      <c r="A116" s="8" t="s">
        <v>290</v>
      </c>
      <c r="B116" s="9">
        <v>4125</v>
      </c>
      <c r="C116" s="9">
        <v>1520</v>
      </c>
      <c r="D116" s="10">
        <v>6270000</v>
      </c>
      <c r="E116" s="7"/>
    </row>
    <row r="117" spans="1:5" ht="30" thickTop="1" thickBot="1" x14ac:dyDescent="0.4">
      <c r="A117" s="8" t="s">
        <v>291</v>
      </c>
      <c r="B117" s="9">
        <v>4473</v>
      </c>
      <c r="C117" s="9">
        <v>1581</v>
      </c>
      <c r="D117" s="10">
        <v>7071813</v>
      </c>
      <c r="E117" s="7"/>
    </row>
    <row r="118" spans="1:5" ht="30" thickTop="1" thickBot="1" x14ac:dyDescent="0.4">
      <c r="A118" s="8" t="s">
        <v>292</v>
      </c>
      <c r="B118" s="9">
        <v>1498</v>
      </c>
      <c r="C118" s="9">
        <v>1634</v>
      </c>
      <c r="D118" s="10">
        <v>2447732</v>
      </c>
      <c r="E118" s="7"/>
    </row>
    <row r="119" spans="1:5" ht="16.8" thickTop="1" thickBot="1" x14ac:dyDescent="0.4">
      <c r="A119" s="8" t="s">
        <v>293</v>
      </c>
      <c r="B119" s="9">
        <v>4036</v>
      </c>
      <c r="C119" s="9">
        <v>1648</v>
      </c>
      <c r="D119" s="10">
        <v>6651328</v>
      </c>
      <c r="E119" s="7"/>
    </row>
    <row r="120" spans="1:5" ht="16.8" thickTop="1" thickBot="1" x14ac:dyDescent="0.4">
      <c r="A120" s="8" t="s">
        <v>294</v>
      </c>
      <c r="B120" s="9">
        <v>4099</v>
      </c>
      <c r="C120" s="9">
        <v>668</v>
      </c>
      <c r="D120" s="10">
        <v>2738132</v>
      </c>
      <c r="E120" s="7"/>
    </row>
    <row r="121" spans="1:5" ht="30" thickTop="1" thickBot="1" x14ac:dyDescent="0.4">
      <c r="A121" s="8" t="s">
        <v>295</v>
      </c>
      <c r="B121" s="9">
        <v>5696</v>
      </c>
      <c r="C121" s="9">
        <v>1792</v>
      </c>
      <c r="D121" s="10">
        <v>10207232</v>
      </c>
      <c r="E121" s="7"/>
    </row>
    <row r="122" spans="1:5" ht="16.8" thickTop="1" thickBot="1" x14ac:dyDescent="0.4">
      <c r="A122" s="8" t="s">
        <v>296</v>
      </c>
      <c r="B122" s="9">
        <v>7517</v>
      </c>
      <c r="C122" s="9">
        <v>372</v>
      </c>
      <c r="D122" s="10">
        <v>2796324</v>
      </c>
      <c r="E122" s="7"/>
    </row>
    <row r="123" spans="1:5" ht="30" thickTop="1" thickBot="1" x14ac:dyDescent="0.4">
      <c r="A123" s="8" t="s">
        <v>297</v>
      </c>
      <c r="B123" s="9">
        <v>4925</v>
      </c>
      <c r="C123" s="9">
        <v>1847</v>
      </c>
      <c r="D123" s="10">
        <v>9096475</v>
      </c>
      <c r="E123" s="7"/>
    </row>
    <row r="124" spans="1:5" ht="30" thickTop="1" thickBot="1" x14ac:dyDescent="0.4">
      <c r="A124" s="8" t="s">
        <v>298</v>
      </c>
      <c r="B124" s="9">
        <v>5971</v>
      </c>
      <c r="C124" s="9">
        <v>883</v>
      </c>
      <c r="D124" s="10">
        <v>5272393</v>
      </c>
      <c r="E124" s="7"/>
    </row>
    <row r="125" spans="1:5" ht="30" thickTop="1" thickBot="1" x14ac:dyDescent="0.4">
      <c r="A125" s="8" t="s">
        <v>299</v>
      </c>
      <c r="B125" s="9">
        <v>7424</v>
      </c>
      <c r="C125" s="9">
        <v>1095</v>
      </c>
      <c r="D125" s="10">
        <v>8129280</v>
      </c>
      <c r="E125" s="7"/>
    </row>
    <row r="126" spans="1:5" ht="30" thickTop="1" thickBot="1" x14ac:dyDescent="0.4">
      <c r="A126" s="8" t="s">
        <v>300</v>
      </c>
      <c r="B126" s="9">
        <v>1083</v>
      </c>
      <c r="C126" s="9">
        <v>649</v>
      </c>
      <c r="D126" s="10">
        <v>702867</v>
      </c>
      <c r="E126" s="7"/>
    </row>
    <row r="127" spans="1:5" ht="16.8" thickTop="1" thickBot="1" x14ac:dyDescent="0.4">
      <c r="A127" s="8" t="s">
        <v>301</v>
      </c>
      <c r="B127" s="9">
        <v>10650</v>
      </c>
      <c r="C127" s="9">
        <v>857</v>
      </c>
      <c r="D127" s="10">
        <v>9127050</v>
      </c>
      <c r="E127" s="7"/>
    </row>
    <row r="128" spans="1:5" ht="16.8" thickTop="1" thickBot="1" x14ac:dyDescent="0.4">
      <c r="A128" s="8" t="s">
        <v>302</v>
      </c>
      <c r="B128" s="9">
        <v>8502</v>
      </c>
      <c r="C128" s="9">
        <v>729</v>
      </c>
      <c r="D128" s="10">
        <v>6197958</v>
      </c>
      <c r="E128" s="7"/>
    </row>
    <row r="129" spans="1:5" ht="30" thickTop="1" thickBot="1" x14ac:dyDescent="0.4">
      <c r="A129" s="8" t="s">
        <v>303</v>
      </c>
      <c r="B129" s="9">
        <v>8774</v>
      </c>
      <c r="C129" s="9">
        <v>1176</v>
      </c>
      <c r="D129" s="10">
        <v>10318224</v>
      </c>
      <c r="E129" s="7"/>
    </row>
    <row r="130" spans="1:5" ht="30" thickTop="1" thickBot="1" x14ac:dyDescent="0.4">
      <c r="A130" s="8" t="s">
        <v>304</v>
      </c>
      <c r="B130" s="9">
        <v>2505</v>
      </c>
      <c r="C130" s="9">
        <v>1238</v>
      </c>
      <c r="D130" s="10">
        <v>3101190</v>
      </c>
      <c r="E130" s="7"/>
    </row>
    <row r="131" spans="1:5" ht="30" thickTop="1" thickBot="1" x14ac:dyDescent="0.4">
      <c r="A131" s="8" t="s">
        <v>305</v>
      </c>
      <c r="B131" s="9">
        <v>10527</v>
      </c>
      <c r="C131" s="9">
        <v>1331</v>
      </c>
      <c r="D131" s="10">
        <v>14011437</v>
      </c>
      <c r="E131" s="7"/>
    </row>
    <row r="132" spans="1:5" ht="16.8" thickTop="1" thickBot="1" x14ac:dyDescent="0.4">
      <c r="A132" s="8" t="s">
        <v>306</v>
      </c>
      <c r="B132" s="9">
        <v>1816</v>
      </c>
      <c r="C132" s="9">
        <v>837</v>
      </c>
      <c r="D132" s="10">
        <v>1519992</v>
      </c>
      <c r="E132" s="7"/>
    </row>
    <row r="133" spans="1:5" ht="30" thickTop="1" thickBot="1" x14ac:dyDescent="0.4">
      <c r="A133" s="8" t="s">
        <v>307</v>
      </c>
      <c r="B133" s="9">
        <v>1882</v>
      </c>
      <c r="C133" s="9">
        <v>1224</v>
      </c>
      <c r="D133" s="10">
        <v>2303568</v>
      </c>
      <c r="E133" s="7"/>
    </row>
    <row r="134" spans="1:5" ht="16.8" thickTop="1" thickBot="1" x14ac:dyDescent="0.4">
      <c r="A134" s="8" t="s">
        <v>308</v>
      </c>
      <c r="B134" s="9">
        <v>9331</v>
      </c>
      <c r="C134" s="9">
        <v>1604</v>
      </c>
      <c r="D134" s="10">
        <v>14966924</v>
      </c>
      <c r="E134" s="7"/>
    </row>
    <row r="135" spans="1:5" ht="16.8" thickTop="1" thickBot="1" x14ac:dyDescent="0.4">
      <c r="A135" s="8" t="s">
        <v>309</v>
      </c>
      <c r="B135" s="9">
        <v>5545</v>
      </c>
      <c r="C135" s="9">
        <v>468</v>
      </c>
      <c r="D135" s="10">
        <v>2595060</v>
      </c>
      <c r="E135" s="7"/>
    </row>
    <row r="136" spans="1:5" ht="16.8" thickTop="1" thickBot="1" x14ac:dyDescent="0.4">
      <c r="A136" s="8" t="s">
        <v>310</v>
      </c>
      <c r="B136" s="9">
        <v>3714</v>
      </c>
      <c r="C136" s="9">
        <v>1543</v>
      </c>
      <c r="D136" s="10">
        <v>5730702</v>
      </c>
      <c r="E136" s="7"/>
    </row>
    <row r="137" spans="1:5" ht="16.8" thickTop="1" thickBot="1" x14ac:dyDescent="0.4">
      <c r="A137" s="8" t="s">
        <v>311</v>
      </c>
      <c r="B137" s="9">
        <v>6228</v>
      </c>
      <c r="C137" s="9">
        <v>539</v>
      </c>
      <c r="D137" s="10">
        <v>3356892</v>
      </c>
      <c r="E137" s="7"/>
    </row>
    <row r="138" spans="1:5" ht="16.8" thickTop="1" thickBot="1" x14ac:dyDescent="0.4">
      <c r="A138" s="8" t="s">
        <v>312</v>
      </c>
      <c r="B138" s="9">
        <v>2177</v>
      </c>
      <c r="C138" s="9">
        <v>1657</v>
      </c>
      <c r="D138" s="10">
        <v>3607289</v>
      </c>
      <c r="E138" s="7"/>
    </row>
    <row r="139" spans="1:5" ht="30" thickTop="1" thickBot="1" x14ac:dyDescent="0.4">
      <c r="A139" s="8" t="s">
        <v>313</v>
      </c>
      <c r="B139" s="9">
        <v>4715</v>
      </c>
      <c r="C139" s="9">
        <v>306</v>
      </c>
      <c r="D139" s="10">
        <v>1442790</v>
      </c>
      <c r="E139" s="7"/>
    </row>
    <row r="140" spans="1:5" ht="16.8" thickTop="1" thickBot="1" x14ac:dyDescent="0.4">
      <c r="A140" s="8" t="s">
        <v>314</v>
      </c>
      <c r="B140" s="9">
        <v>8682</v>
      </c>
      <c r="C140" s="9">
        <v>514</v>
      </c>
      <c r="D140" s="10">
        <v>4462548</v>
      </c>
      <c r="E140" s="7"/>
    </row>
    <row r="141" spans="1:5" ht="30" thickTop="1" thickBot="1" x14ac:dyDescent="0.4">
      <c r="A141" s="8" t="s">
        <v>315</v>
      </c>
      <c r="B141" s="9">
        <v>6286</v>
      </c>
      <c r="C141" s="9">
        <v>424</v>
      </c>
      <c r="D141" s="10">
        <v>2665264</v>
      </c>
      <c r="E141" s="7"/>
    </row>
    <row r="142" spans="1:5" ht="16.8" thickTop="1" thickBot="1" x14ac:dyDescent="0.4">
      <c r="A142" s="8" t="s">
        <v>316</v>
      </c>
      <c r="B142" s="9">
        <v>6554</v>
      </c>
      <c r="C142" s="9">
        <v>1216</v>
      </c>
      <c r="D142" s="10">
        <v>7969664</v>
      </c>
      <c r="E142" s="7"/>
    </row>
    <row r="143" spans="1:5" ht="30" thickTop="1" thickBot="1" x14ac:dyDescent="0.4">
      <c r="A143" s="8" t="s">
        <v>317</v>
      </c>
      <c r="B143" s="9">
        <v>2725</v>
      </c>
      <c r="C143" s="9">
        <v>639</v>
      </c>
      <c r="D143" s="10">
        <v>1741275</v>
      </c>
      <c r="E143" s="7"/>
    </row>
    <row r="144" spans="1:5" ht="16.8" thickTop="1" thickBot="1" x14ac:dyDescent="0.4">
      <c r="A144" s="8" t="s">
        <v>318</v>
      </c>
      <c r="B144" s="9">
        <v>5637</v>
      </c>
      <c r="C144" s="9">
        <v>1370</v>
      </c>
      <c r="D144" s="10">
        <v>7722690</v>
      </c>
      <c r="E144" s="7"/>
    </row>
    <row r="145" spans="1:5" ht="16.8" thickTop="1" thickBot="1" x14ac:dyDescent="0.4">
      <c r="A145" s="8" t="s">
        <v>319</v>
      </c>
      <c r="B145" s="9">
        <v>2327</v>
      </c>
      <c r="C145" s="9">
        <v>1354</v>
      </c>
      <c r="D145" s="10">
        <v>3150758</v>
      </c>
      <c r="E145" s="7"/>
    </row>
    <row r="146" spans="1:5" ht="16.8" thickTop="1" thickBot="1" x14ac:dyDescent="0.4">
      <c r="A146" s="8" t="s">
        <v>320</v>
      </c>
      <c r="B146" s="9">
        <v>2138</v>
      </c>
      <c r="C146" s="9">
        <v>1303</v>
      </c>
      <c r="D146" s="10">
        <v>2785814</v>
      </c>
      <c r="E146" s="7"/>
    </row>
    <row r="147" spans="1:5" ht="30" thickTop="1" thickBot="1" x14ac:dyDescent="0.4">
      <c r="A147" s="8" t="s">
        <v>321</v>
      </c>
      <c r="B147" s="9">
        <v>2434</v>
      </c>
      <c r="C147" s="9">
        <v>1644</v>
      </c>
      <c r="D147" s="10">
        <v>4001496</v>
      </c>
      <c r="E147" s="7"/>
    </row>
    <row r="148" spans="1:5" ht="16.8" thickTop="1" thickBot="1" x14ac:dyDescent="0.4">
      <c r="A148" s="8" t="s">
        <v>322</v>
      </c>
      <c r="B148" s="9">
        <v>5801</v>
      </c>
      <c r="C148" s="9">
        <v>1413</v>
      </c>
      <c r="D148" s="10">
        <v>8196813</v>
      </c>
      <c r="E148" s="7"/>
    </row>
    <row r="149" spans="1:5" ht="16.8" thickTop="1" thickBot="1" x14ac:dyDescent="0.4">
      <c r="A149" s="8" t="s">
        <v>323</v>
      </c>
      <c r="B149" s="9">
        <v>10082</v>
      </c>
      <c r="C149" s="9">
        <v>1587</v>
      </c>
      <c r="D149" s="10">
        <v>16000134</v>
      </c>
      <c r="E149" s="7"/>
    </row>
    <row r="150" spans="1:5" ht="30" thickTop="1" thickBot="1" x14ac:dyDescent="0.4">
      <c r="A150" s="8" t="s">
        <v>324</v>
      </c>
      <c r="B150" s="9">
        <v>6736</v>
      </c>
      <c r="C150" s="9">
        <v>1523</v>
      </c>
      <c r="D150" s="10">
        <v>10258928</v>
      </c>
      <c r="E150" s="7"/>
    </row>
    <row r="151" spans="1:5" ht="30" thickTop="1" thickBot="1" x14ac:dyDescent="0.4">
      <c r="A151" s="8" t="s">
        <v>325</v>
      </c>
      <c r="B151" s="9">
        <v>2428</v>
      </c>
      <c r="C151" s="9">
        <v>1697</v>
      </c>
      <c r="D151" s="10">
        <v>4120316</v>
      </c>
      <c r="E151" s="7"/>
    </row>
    <row r="152" spans="1:5" ht="30" thickTop="1" thickBot="1" x14ac:dyDescent="0.4">
      <c r="A152" s="8" t="s">
        <v>326</v>
      </c>
      <c r="B152" s="9">
        <v>4970</v>
      </c>
      <c r="C152" s="9">
        <v>501</v>
      </c>
      <c r="D152" s="10">
        <v>2489970</v>
      </c>
      <c r="E152" s="7"/>
    </row>
    <row r="153" spans="1:5" ht="16.8" thickTop="1" thickBot="1" x14ac:dyDescent="0.4">
      <c r="A153" s="8" t="s">
        <v>327</v>
      </c>
      <c r="B153" s="9">
        <v>8941</v>
      </c>
      <c r="C153" s="9">
        <v>1458</v>
      </c>
      <c r="D153" s="10">
        <v>13035978</v>
      </c>
      <c r="E153" s="7"/>
    </row>
    <row r="154" spans="1:5" ht="30" thickTop="1" thickBot="1" x14ac:dyDescent="0.4">
      <c r="A154" s="8" t="s">
        <v>328</v>
      </c>
      <c r="B154" s="9">
        <v>1649</v>
      </c>
      <c r="C154" s="9">
        <v>620</v>
      </c>
      <c r="D154" s="10">
        <v>1022380</v>
      </c>
      <c r="E154" s="7"/>
    </row>
    <row r="155" spans="1:5" ht="30" thickTop="1" thickBot="1" x14ac:dyDescent="0.4">
      <c r="A155" s="8" t="s">
        <v>329</v>
      </c>
      <c r="B155" s="9">
        <v>6806</v>
      </c>
      <c r="C155" s="9">
        <v>1818</v>
      </c>
      <c r="D155" s="10">
        <v>12373308</v>
      </c>
      <c r="E155" s="7"/>
    </row>
    <row r="156" spans="1:5" ht="16.8" thickTop="1" thickBot="1" x14ac:dyDescent="0.4">
      <c r="A156" s="8" t="s">
        <v>330</v>
      </c>
      <c r="B156" s="9">
        <v>8479</v>
      </c>
      <c r="C156" s="9">
        <v>1996</v>
      </c>
      <c r="D156" s="10">
        <v>16924084</v>
      </c>
      <c r="E156" s="7"/>
    </row>
    <row r="157" spans="1:5" ht="30" thickTop="1" thickBot="1" x14ac:dyDescent="0.4">
      <c r="A157" s="8" t="s">
        <v>331</v>
      </c>
      <c r="B157" s="9">
        <v>6264</v>
      </c>
      <c r="C157" s="9">
        <v>1026</v>
      </c>
      <c r="D157" s="10">
        <v>6426864</v>
      </c>
      <c r="E157" s="7"/>
    </row>
    <row r="158" spans="1:5" ht="16.8" thickTop="1" thickBot="1" x14ac:dyDescent="0.4">
      <c r="A158" s="8" t="s">
        <v>332</v>
      </c>
      <c r="B158" s="9">
        <v>1116</v>
      </c>
      <c r="C158" s="9">
        <v>1916</v>
      </c>
      <c r="D158" s="10">
        <v>2138256</v>
      </c>
      <c r="E158" s="7"/>
    </row>
    <row r="159" spans="1:5" ht="30" thickTop="1" thickBot="1" x14ac:dyDescent="0.4">
      <c r="A159" s="8" t="s">
        <v>333</v>
      </c>
      <c r="B159" s="9">
        <v>6054</v>
      </c>
      <c r="C159" s="9">
        <v>960</v>
      </c>
      <c r="D159" s="10">
        <v>5811840</v>
      </c>
      <c r="E159" s="7"/>
    </row>
    <row r="160" spans="1:5" ht="16.8" thickTop="1" thickBot="1" x14ac:dyDescent="0.4">
      <c r="A160" s="8" t="s">
        <v>334</v>
      </c>
      <c r="B160" s="9">
        <v>11215</v>
      </c>
      <c r="C160" s="9">
        <v>545</v>
      </c>
      <c r="D160" s="10">
        <v>6112175</v>
      </c>
      <c r="E160" s="7"/>
    </row>
    <row r="161" spans="1:5" ht="16.8" thickTop="1" thickBot="1" x14ac:dyDescent="0.4">
      <c r="A161" s="8" t="s">
        <v>335</v>
      </c>
      <c r="B161" s="9">
        <v>9440</v>
      </c>
      <c r="C161" s="9">
        <v>1225</v>
      </c>
      <c r="D161" s="10">
        <v>11564000</v>
      </c>
      <c r="E161" s="7"/>
    </row>
    <row r="162" spans="1:5" ht="30" thickTop="1" thickBot="1" x14ac:dyDescent="0.4">
      <c r="A162" s="8" t="s">
        <v>336</v>
      </c>
      <c r="B162" s="9">
        <v>7862</v>
      </c>
      <c r="C162" s="9">
        <v>1243</v>
      </c>
      <c r="D162" s="10">
        <v>9772466</v>
      </c>
      <c r="E162" s="7"/>
    </row>
    <row r="163" spans="1:5" ht="30" thickTop="1" thickBot="1" x14ac:dyDescent="0.4">
      <c r="A163" s="8" t="s">
        <v>337</v>
      </c>
      <c r="B163" s="9">
        <v>4512</v>
      </c>
      <c r="C163" s="9">
        <v>712</v>
      </c>
      <c r="D163" s="10">
        <v>3212544</v>
      </c>
      <c r="E163" s="7"/>
    </row>
    <row r="164" spans="1:5" ht="16.8" thickTop="1" thickBot="1" x14ac:dyDescent="0.4">
      <c r="A164" s="8" t="s">
        <v>338</v>
      </c>
      <c r="B164" s="9">
        <v>6316</v>
      </c>
      <c r="C164" s="9">
        <v>1393</v>
      </c>
      <c r="D164" s="10">
        <v>8798188</v>
      </c>
      <c r="E164" s="7"/>
    </row>
    <row r="165" spans="1:5" ht="16.8" thickTop="1" thickBot="1" x14ac:dyDescent="0.4">
      <c r="A165" s="8" t="s">
        <v>339</v>
      </c>
      <c r="B165" s="9">
        <v>3763</v>
      </c>
      <c r="C165" s="9">
        <v>1097</v>
      </c>
      <c r="D165" s="10">
        <v>4128011</v>
      </c>
      <c r="E165" s="7"/>
    </row>
    <row r="166" spans="1:5" ht="16.8" thickTop="1" thickBot="1" x14ac:dyDescent="0.4">
      <c r="A166" s="8" t="s">
        <v>340</v>
      </c>
      <c r="B166" s="9">
        <v>1576</v>
      </c>
      <c r="C166" s="9">
        <v>1115</v>
      </c>
      <c r="D166" s="10">
        <v>1757240</v>
      </c>
      <c r="E166" s="7"/>
    </row>
    <row r="167" spans="1:5" ht="30" thickTop="1" thickBot="1" x14ac:dyDescent="0.4">
      <c r="A167" s="8" t="s">
        <v>341</v>
      </c>
      <c r="B167" s="9">
        <v>3276</v>
      </c>
      <c r="C167" s="9">
        <v>1978</v>
      </c>
      <c r="D167" s="10">
        <v>6479928</v>
      </c>
      <c r="E167" s="7"/>
    </row>
    <row r="168" spans="1:5" ht="30" thickTop="1" thickBot="1" x14ac:dyDescent="0.4">
      <c r="A168" s="8" t="s">
        <v>342</v>
      </c>
      <c r="B168" s="9">
        <v>4838</v>
      </c>
      <c r="C168" s="9">
        <v>1914</v>
      </c>
      <c r="D168" s="10">
        <v>9259932</v>
      </c>
      <c r="E168" s="7"/>
    </row>
    <row r="169" spans="1:5" ht="16.8" thickTop="1" thickBot="1" x14ac:dyDescent="0.4">
      <c r="A169" s="8" t="s">
        <v>343</v>
      </c>
      <c r="B169" s="9">
        <v>1370</v>
      </c>
      <c r="C169" s="9">
        <v>1692</v>
      </c>
      <c r="D169" s="10">
        <v>2318040</v>
      </c>
      <c r="E169" s="7"/>
    </row>
    <row r="170" spans="1:5" ht="16.8" thickTop="1" thickBot="1" x14ac:dyDescent="0.4">
      <c r="A170" s="8" t="s">
        <v>344</v>
      </c>
      <c r="B170" s="9">
        <v>4044</v>
      </c>
      <c r="C170" s="9">
        <v>1745</v>
      </c>
      <c r="D170" s="10">
        <v>7056780</v>
      </c>
      <c r="E170" s="7"/>
    </row>
    <row r="171" spans="1:5" ht="16.8" thickTop="1" thickBot="1" x14ac:dyDescent="0.4">
      <c r="A171" s="8" t="s">
        <v>345</v>
      </c>
      <c r="B171" s="9">
        <v>4748</v>
      </c>
      <c r="C171" s="9">
        <v>1574</v>
      </c>
      <c r="D171" s="10">
        <v>7473352</v>
      </c>
      <c r="E171" s="7"/>
    </row>
    <row r="172" spans="1:5" ht="30" thickTop="1" thickBot="1" x14ac:dyDescent="0.4">
      <c r="A172" s="8" t="s">
        <v>346</v>
      </c>
      <c r="B172" s="9">
        <v>3834</v>
      </c>
      <c r="C172" s="9">
        <v>773</v>
      </c>
      <c r="D172" s="10">
        <v>2963682</v>
      </c>
      <c r="E172" s="7"/>
    </row>
    <row r="173" spans="1:5" ht="30" thickTop="1" thickBot="1" x14ac:dyDescent="0.4">
      <c r="A173" s="8" t="s">
        <v>347</v>
      </c>
      <c r="B173" s="9">
        <v>9251</v>
      </c>
      <c r="C173" s="9">
        <v>1902</v>
      </c>
      <c r="D173" s="10">
        <v>17595402</v>
      </c>
      <c r="E173" s="7"/>
    </row>
    <row r="174" spans="1:5" ht="30" thickTop="1" thickBot="1" x14ac:dyDescent="0.4">
      <c r="A174" s="8" t="s">
        <v>348</v>
      </c>
      <c r="B174" s="9">
        <v>4193</v>
      </c>
      <c r="C174" s="9">
        <v>921</v>
      </c>
      <c r="D174" s="10">
        <v>3861753</v>
      </c>
      <c r="E174" s="7"/>
    </row>
    <row r="175" spans="1:5" ht="16.8" thickTop="1" thickBot="1" x14ac:dyDescent="0.4">
      <c r="A175" s="8" t="s">
        <v>349</v>
      </c>
      <c r="B175" s="9">
        <v>5606</v>
      </c>
      <c r="C175" s="9">
        <v>1806</v>
      </c>
      <c r="D175" s="10">
        <v>10124436</v>
      </c>
      <c r="E175" s="7"/>
    </row>
    <row r="176" spans="1:5" ht="30" thickTop="1" thickBot="1" x14ac:dyDescent="0.4">
      <c r="A176" s="8" t="s">
        <v>350</v>
      </c>
      <c r="B176" s="9">
        <v>9157</v>
      </c>
      <c r="C176" s="9">
        <v>1687</v>
      </c>
      <c r="D176" s="10">
        <v>15447859</v>
      </c>
      <c r="E176" s="7"/>
    </row>
    <row r="177" spans="1:5" ht="16.8" thickTop="1" thickBot="1" x14ac:dyDescent="0.4">
      <c r="A177" s="8" t="s">
        <v>351</v>
      </c>
      <c r="B177" s="9">
        <v>6573</v>
      </c>
      <c r="C177" s="9">
        <v>666</v>
      </c>
      <c r="D177" s="10">
        <v>4377618</v>
      </c>
      <c r="E177" s="7"/>
    </row>
    <row r="178" spans="1:5" ht="16.8" thickTop="1" thickBot="1" x14ac:dyDescent="0.4">
      <c r="A178" s="8" t="s">
        <v>352</v>
      </c>
      <c r="B178" s="9">
        <v>10321</v>
      </c>
      <c r="C178" s="9">
        <v>753</v>
      </c>
      <c r="D178" s="10">
        <v>7771713</v>
      </c>
      <c r="E178" s="7"/>
    </row>
    <row r="179" spans="1:5" ht="30" thickTop="1" thickBot="1" x14ac:dyDescent="0.4">
      <c r="A179" s="8" t="s">
        <v>353</v>
      </c>
      <c r="B179" s="9">
        <v>7878</v>
      </c>
      <c r="C179" s="9">
        <v>429</v>
      </c>
      <c r="D179" s="10">
        <v>3379662</v>
      </c>
      <c r="E179" s="7"/>
    </row>
    <row r="180" spans="1:5" ht="30" thickTop="1" thickBot="1" x14ac:dyDescent="0.4">
      <c r="A180" s="8" t="s">
        <v>354</v>
      </c>
      <c r="B180" s="9">
        <v>9582</v>
      </c>
      <c r="C180" s="9">
        <v>456</v>
      </c>
      <c r="D180" s="10">
        <v>4369392</v>
      </c>
      <c r="E180" s="7"/>
    </row>
    <row r="181" spans="1:5" ht="16.8" thickTop="1" thickBot="1" x14ac:dyDescent="0.4">
      <c r="A181" s="8" t="s">
        <v>355</v>
      </c>
      <c r="B181" s="9">
        <v>6002</v>
      </c>
      <c r="C181" s="9">
        <v>724</v>
      </c>
      <c r="D181" s="10">
        <v>4345448</v>
      </c>
      <c r="E181" s="7"/>
    </row>
    <row r="182" spans="1:5" ht="30" thickTop="1" thickBot="1" x14ac:dyDescent="0.4">
      <c r="A182" s="8" t="s">
        <v>356</v>
      </c>
      <c r="B182" s="9">
        <v>7675</v>
      </c>
      <c r="C182" s="9">
        <v>966</v>
      </c>
      <c r="D182" s="10">
        <v>7414050</v>
      </c>
      <c r="E182" s="7"/>
    </row>
    <row r="183" spans="1:5" ht="30" thickTop="1" thickBot="1" x14ac:dyDescent="0.4">
      <c r="A183" s="8" t="s">
        <v>357</v>
      </c>
      <c r="B183" s="9">
        <v>10598</v>
      </c>
      <c r="C183" s="9">
        <v>1058</v>
      </c>
      <c r="D183" s="10">
        <v>11212684</v>
      </c>
      <c r="E183" s="7"/>
    </row>
    <row r="184" spans="1:5" ht="30" thickTop="1" thickBot="1" x14ac:dyDescent="0.4">
      <c r="A184" s="8" t="s">
        <v>358</v>
      </c>
      <c r="B184" s="9">
        <v>11054</v>
      </c>
      <c r="C184" s="9">
        <v>848</v>
      </c>
      <c r="D184" s="10">
        <v>9373792</v>
      </c>
      <c r="E184" s="7"/>
    </row>
    <row r="185" spans="1:5" ht="30" thickTop="1" thickBot="1" x14ac:dyDescent="0.4">
      <c r="A185" s="8" t="s">
        <v>359</v>
      </c>
      <c r="B185" s="9">
        <v>11152</v>
      </c>
      <c r="C185" s="9">
        <v>952</v>
      </c>
      <c r="D185" s="10">
        <v>10616704</v>
      </c>
      <c r="E185" s="7"/>
    </row>
    <row r="186" spans="1:5" ht="16.8" thickTop="1" thickBot="1" x14ac:dyDescent="0.4">
      <c r="A186" s="8" t="s">
        <v>360</v>
      </c>
      <c r="B186" s="9">
        <v>10411</v>
      </c>
      <c r="C186" s="9">
        <v>1176</v>
      </c>
      <c r="D186" s="10">
        <v>12243336</v>
      </c>
      <c r="E186" s="7"/>
    </row>
    <row r="187" spans="1:5" ht="30" thickTop="1" thickBot="1" x14ac:dyDescent="0.4">
      <c r="A187" s="8" t="s">
        <v>361</v>
      </c>
      <c r="B187" s="9">
        <v>2588</v>
      </c>
      <c r="C187" s="9">
        <v>1897</v>
      </c>
      <c r="D187" s="10">
        <v>4909436</v>
      </c>
      <c r="E187" s="7"/>
    </row>
    <row r="188" spans="1:5" ht="30" thickTop="1" thickBot="1" x14ac:dyDescent="0.4">
      <c r="A188" s="8" t="s">
        <v>362</v>
      </c>
      <c r="B188" s="9">
        <v>1163</v>
      </c>
      <c r="C188" s="9">
        <v>1559</v>
      </c>
      <c r="D188" s="10">
        <v>1813117</v>
      </c>
      <c r="E188" s="7"/>
    </row>
    <row r="189" spans="1:5" ht="30" thickTop="1" thickBot="1" x14ac:dyDescent="0.4">
      <c r="A189" s="8" t="s">
        <v>363</v>
      </c>
      <c r="B189" s="9">
        <v>4466</v>
      </c>
      <c r="C189" s="9">
        <v>1343</v>
      </c>
      <c r="D189" s="10">
        <v>5997838</v>
      </c>
      <c r="E189" s="7"/>
    </row>
    <row r="190" spans="1:5" ht="30" thickTop="1" thickBot="1" x14ac:dyDescent="0.4">
      <c r="A190" s="8" t="s">
        <v>364</v>
      </c>
      <c r="B190" s="9">
        <v>1878</v>
      </c>
      <c r="C190" s="9">
        <v>1384</v>
      </c>
      <c r="D190" s="10">
        <v>2599152</v>
      </c>
      <c r="E190" s="7"/>
    </row>
    <row r="191" spans="1:5" ht="16.8" thickTop="1" thickBot="1" x14ac:dyDescent="0.4">
      <c r="A191" s="8" t="s">
        <v>365</v>
      </c>
      <c r="B191" s="9">
        <v>2983</v>
      </c>
      <c r="C191" s="9">
        <v>411</v>
      </c>
      <c r="D191" s="10">
        <v>1226013</v>
      </c>
      <c r="E191" s="7"/>
    </row>
    <row r="192" spans="1:5" ht="30" thickTop="1" thickBot="1" x14ac:dyDescent="0.4">
      <c r="A192" s="8" t="s">
        <v>366</v>
      </c>
      <c r="B192" s="9">
        <v>5910</v>
      </c>
      <c r="C192" s="9">
        <v>1942</v>
      </c>
      <c r="D192" s="10">
        <v>11477220</v>
      </c>
      <c r="E192" s="7"/>
    </row>
    <row r="193" spans="1:5" ht="30" thickTop="1" thickBot="1" x14ac:dyDescent="0.4">
      <c r="A193" s="8" t="s">
        <v>367</v>
      </c>
      <c r="B193" s="9">
        <v>7366</v>
      </c>
      <c r="C193" s="9">
        <v>1852</v>
      </c>
      <c r="D193" s="10">
        <v>13641832</v>
      </c>
      <c r="E193" s="7"/>
    </row>
    <row r="194" spans="1:5" ht="16.8" thickTop="1" thickBot="1" x14ac:dyDescent="0.4">
      <c r="A194" s="8" t="s">
        <v>368</v>
      </c>
      <c r="B194" s="9">
        <v>4791</v>
      </c>
      <c r="C194" s="9">
        <v>381</v>
      </c>
      <c r="D194" s="10">
        <v>1825371</v>
      </c>
      <c r="E194" s="7"/>
    </row>
    <row r="195" spans="1:5" ht="16.8" thickTop="1" thickBot="1" x14ac:dyDescent="0.4">
      <c r="A195" s="8" t="s">
        <v>369</v>
      </c>
      <c r="B195" s="9">
        <v>5451</v>
      </c>
      <c r="C195" s="9">
        <v>1528</v>
      </c>
      <c r="D195" s="10">
        <v>8329128</v>
      </c>
      <c r="E195" s="7"/>
    </row>
    <row r="196" spans="1:5" ht="16.8" thickTop="1" thickBot="1" x14ac:dyDescent="0.4">
      <c r="A196" s="8" t="s">
        <v>370</v>
      </c>
      <c r="B196" s="9">
        <v>4241</v>
      </c>
      <c r="C196" s="9">
        <v>715</v>
      </c>
      <c r="D196" s="10">
        <v>3032315</v>
      </c>
      <c r="E196" s="7"/>
    </row>
    <row r="197" spans="1:5" ht="30" thickTop="1" thickBot="1" x14ac:dyDescent="0.4">
      <c r="A197" s="8" t="s">
        <v>371</v>
      </c>
      <c r="B197" s="9">
        <v>11933</v>
      </c>
      <c r="C197" s="9">
        <v>538</v>
      </c>
      <c r="D197" s="10">
        <v>6419954</v>
      </c>
      <c r="E197" s="7"/>
    </row>
    <row r="198" spans="1:5" ht="30" thickTop="1" thickBot="1" x14ac:dyDescent="0.4">
      <c r="A198" s="8" t="s">
        <v>372</v>
      </c>
      <c r="B198" s="9">
        <v>8932</v>
      </c>
      <c r="C198" s="9">
        <v>1087</v>
      </c>
      <c r="D198" s="10">
        <v>9709084</v>
      </c>
      <c r="E198" s="7"/>
    </row>
    <row r="199" spans="1:5" ht="16.8" thickTop="1" thickBot="1" x14ac:dyDescent="0.4">
      <c r="A199" s="8" t="s">
        <v>373</v>
      </c>
      <c r="B199" s="9">
        <v>8187</v>
      </c>
      <c r="C199" s="9">
        <v>365</v>
      </c>
      <c r="D199" s="10">
        <v>2988255</v>
      </c>
      <c r="E199" s="7"/>
    </row>
    <row r="200" spans="1:5" ht="16.8" thickTop="1" thickBot="1" x14ac:dyDescent="0.4">
      <c r="A200" s="8" t="s">
        <v>374</v>
      </c>
      <c r="B200" s="9">
        <v>11369</v>
      </c>
      <c r="C200" s="9">
        <v>758</v>
      </c>
      <c r="D200" s="10">
        <v>8617702</v>
      </c>
      <c r="E200" s="7"/>
    </row>
    <row r="201" spans="1:5" ht="16.8" thickTop="1" thickBot="1" x14ac:dyDescent="0.4">
      <c r="A201" s="8" t="s">
        <v>375</v>
      </c>
      <c r="B201" s="9">
        <v>4803</v>
      </c>
      <c r="C201" s="9">
        <v>1371</v>
      </c>
      <c r="D201" s="10">
        <v>6584913</v>
      </c>
      <c r="E201" s="7"/>
    </row>
    <row r="202" spans="1:5" ht="30" thickTop="1" thickBot="1" x14ac:dyDescent="0.4">
      <c r="A202" s="8" t="s">
        <v>376</v>
      </c>
      <c r="B202" s="9">
        <v>2498</v>
      </c>
      <c r="C202" s="9">
        <v>1039</v>
      </c>
      <c r="D202" s="10">
        <v>2595422</v>
      </c>
      <c r="E202" s="7"/>
    </row>
    <row r="203" spans="1:5" ht="30" thickTop="1" thickBot="1" x14ac:dyDescent="0.4">
      <c r="A203" s="8" t="s">
        <v>377</v>
      </c>
      <c r="B203" s="9">
        <v>11664</v>
      </c>
      <c r="C203" s="9">
        <v>1042</v>
      </c>
      <c r="D203" s="10">
        <v>12153888</v>
      </c>
      <c r="E203" s="7"/>
    </row>
    <row r="204" spans="1:5" ht="16.8" thickTop="1" thickBot="1" x14ac:dyDescent="0.4">
      <c r="A204" s="8" t="s">
        <v>378</v>
      </c>
      <c r="B204" s="9">
        <v>11764</v>
      </c>
      <c r="C204" s="9">
        <v>1769</v>
      </c>
      <c r="D204" s="10">
        <v>20810516</v>
      </c>
      <c r="E204" s="7"/>
    </row>
    <row r="205" spans="1:5" ht="30" thickTop="1" thickBot="1" x14ac:dyDescent="0.4">
      <c r="A205" s="8" t="s">
        <v>379</v>
      </c>
      <c r="B205" s="9">
        <v>11667</v>
      </c>
      <c r="C205" s="9">
        <v>803</v>
      </c>
      <c r="D205" s="10">
        <v>9368601</v>
      </c>
      <c r="E205" s="7"/>
    </row>
    <row r="206" spans="1:5" ht="30" thickTop="1" thickBot="1" x14ac:dyDescent="0.4">
      <c r="A206" s="8" t="s">
        <v>380</v>
      </c>
      <c r="B206" s="9">
        <v>11254</v>
      </c>
      <c r="C206" s="9">
        <v>1509</v>
      </c>
      <c r="D206" s="10">
        <v>16982286</v>
      </c>
      <c r="E206" s="7"/>
    </row>
    <row r="207" spans="1:5" ht="30" thickTop="1" thickBot="1" x14ac:dyDescent="0.4">
      <c r="A207" s="8" t="s">
        <v>381</v>
      </c>
      <c r="B207" s="9">
        <v>5631</v>
      </c>
      <c r="C207" s="9">
        <v>1778</v>
      </c>
      <c r="D207" s="10">
        <v>10011918</v>
      </c>
      <c r="E207" s="7"/>
    </row>
    <row r="208" spans="1:5" ht="30" thickTop="1" thickBot="1" x14ac:dyDescent="0.4">
      <c r="A208" s="8" t="s">
        <v>382</v>
      </c>
      <c r="B208" s="9">
        <v>3231</v>
      </c>
      <c r="C208" s="9">
        <v>1781</v>
      </c>
      <c r="D208" s="10">
        <v>5754411</v>
      </c>
      <c r="E208" s="7"/>
    </row>
    <row r="209" spans="1:5" ht="30" thickTop="1" thickBot="1" x14ac:dyDescent="0.4">
      <c r="A209" s="8" t="s">
        <v>383</v>
      </c>
      <c r="B209" s="9">
        <v>2025</v>
      </c>
      <c r="C209" s="9">
        <v>371</v>
      </c>
      <c r="D209" s="10">
        <v>751275</v>
      </c>
      <c r="E209" s="7"/>
    </row>
    <row r="210" spans="1:5" ht="16.8" thickTop="1" thickBot="1" x14ac:dyDescent="0.4">
      <c r="A210" s="8" t="s">
        <v>384</v>
      </c>
      <c r="B210" s="9">
        <v>9713</v>
      </c>
      <c r="C210" s="9">
        <v>1256</v>
      </c>
      <c r="D210" s="10">
        <v>12199528</v>
      </c>
      <c r="E210" s="7"/>
    </row>
    <row r="211" spans="1:5" ht="30" thickTop="1" thickBot="1" x14ac:dyDescent="0.4">
      <c r="A211" s="8" t="s">
        <v>385</v>
      </c>
      <c r="B211" s="9">
        <v>1815</v>
      </c>
      <c r="C211" s="9">
        <v>1127</v>
      </c>
      <c r="D211" s="10">
        <v>2045505</v>
      </c>
      <c r="E211" s="7"/>
    </row>
    <row r="212" spans="1:5" ht="30" thickTop="1" thickBot="1" x14ac:dyDescent="0.4">
      <c r="A212" s="8" t="s">
        <v>386</v>
      </c>
      <c r="B212" s="9">
        <v>6976</v>
      </c>
      <c r="C212" s="9">
        <v>443</v>
      </c>
      <c r="D212" s="10">
        <v>3090368</v>
      </c>
      <c r="E212" s="7"/>
    </row>
    <row r="213" spans="1:5" ht="30" thickTop="1" thickBot="1" x14ac:dyDescent="0.4">
      <c r="A213" s="8" t="s">
        <v>387</v>
      </c>
      <c r="B213" s="9">
        <v>11629</v>
      </c>
      <c r="C213" s="9">
        <v>802</v>
      </c>
      <c r="D213" s="10">
        <v>9326458</v>
      </c>
      <c r="E213" s="7"/>
    </row>
    <row r="214" spans="1:5" ht="30" thickTop="1" thickBot="1" x14ac:dyDescent="0.4">
      <c r="A214" s="8" t="s">
        <v>388</v>
      </c>
      <c r="B214" s="9">
        <v>6067</v>
      </c>
      <c r="C214" s="9">
        <v>1410</v>
      </c>
      <c r="D214" s="10">
        <v>8554470</v>
      </c>
      <c r="E214" s="7"/>
    </row>
    <row r="215" spans="1:5" ht="30" thickTop="1" thickBot="1" x14ac:dyDescent="0.4">
      <c r="A215" s="8" t="s">
        <v>76</v>
      </c>
      <c r="B215" s="9">
        <v>2749</v>
      </c>
      <c r="C215" s="9">
        <v>1984</v>
      </c>
      <c r="D215" s="10">
        <v>5454016</v>
      </c>
      <c r="E215" s="7"/>
    </row>
    <row r="216" spans="1:5" ht="30" thickTop="1" thickBot="1" x14ac:dyDescent="0.4">
      <c r="A216" s="8" t="s">
        <v>80</v>
      </c>
      <c r="B216" s="9">
        <v>7027</v>
      </c>
      <c r="C216" s="9">
        <v>1120</v>
      </c>
      <c r="D216" s="10">
        <v>7870240</v>
      </c>
      <c r="E216" s="7"/>
    </row>
    <row r="217" spans="1:5" ht="16.8" thickTop="1" thickBot="1" x14ac:dyDescent="0.4">
      <c r="A217" s="8" t="s">
        <v>83</v>
      </c>
      <c r="B217" s="9">
        <v>2018</v>
      </c>
      <c r="C217" s="9">
        <v>1051</v>
      </c>
      <c r="D217" s="10">
        <v>2120918</v>
      </c>
      <c r="E217" s="7"/>
    </row>
    <row r="218" spans="1:5" ht="16.8" thickTop="1" thickBot="1" x14ac:dyDescent="0.4">
      <c r="A218" s="8" t="s">
        <v>86</v>
      </c>
      <c r="B218" s="9">
        <v>11923</v>
      </c>
      <c r="C218" s="9">
        <v>1250</v>
      </c>
      <c r="D218" s="10">
        <v>14903750</v>
      </c>
      <c r="E218" s="7"/>
    </row>
    <row r="219" spans="1:5" ht="30" thickTop="1" thickBot="1" x14ac:dyDescent="0.4">
      <c r="A219" s="8" t="s">
        <v>88</v>
      </c>
      <c r="B219" s="9">
        <v>11505</v>
      </c>
      <c r="C219" s="9">
        <v>1705</v>
      </c>
      <c r="D219" s="10">
        <v>19616025</v>
      </c>
      <c r="E219" s="7"/>
    </row>
    <row r="220" spans="1:5" ht="16.8" thickTop="1" thickBot="1" x14ac:dyDescent="0.4">
      <c r="A220" s="8" t="s">
        <v>89</v>
      </c>
      <c r="B220" s="9">
        <v>5886</v>
      </c>
      <c r="C220" s="9">
        <v>1022</v>
      </c>
      <c r="D220" s="10">
        <v>6015492</v>
      </c>
      <c r="E220" s="7"/>
    </row>
    <row r="221" spans="1:5" ht="30" thickTop="1" thickBot="1" x14ac:dyDescent="0.4">
      <c r="A221" s="8" t="s">
        <v>91</v>
      </c>
      <c r="B221" s="9">
        <v>9599</v>
      </c>
      <c r="C221" s="9">
        <v>1859</v>
      </c>
      <c r="D221" s="10">
        <v>17844541</v>
      </c>
      <c r="E221" s="7"/>
    </row>
    <row r="222" spans="1:5" ht="30" thickTop="1" thickBot="1" x14ac:dyDescent="0.4">
      <c r="A222" s="8" t="s">
        <v>94</v>
      </c>
      <c r="B222" s="9">
        <v>2281</v>
      </c>
      <c r="C222" s="9">
        <v>1316</v>
      </c>
      <c r="D222" s="10">
        <v>3001796</v>
      </c>
      <c r="E222" s="7"/>
    </row>
    <row r="223" spans="1:5" ht="16.8" thickTop="1" thickBot="1" x14ac:dyDescent="0.4">
      <c r="A223" s="8" t="s">
        <v>96</v>
      </c>
      <c r="B223" s="9">
        <v>6968</v>
      </c>
      <c r="C223" s="9">
        <v>1296</v>
      </c>
      <c r="D223" s="10">
        <v>9030528</v>
      </c>
      <c r="E223" s="7"/>
    </row>
    <row r="224" spans="1:5" ht="30" thickTop="1" thickBot="1" x14ac:dyDescent="0.4">
      <c r="A224" s="8" t="s">
        <v>98</v>
      </c>
      <c r="B224" s="9">
        <v>2071</v>
      </c>
      <c r="C224" s="9">
        <v>784</v>
      </c>
      <c r="D224" s="10">
        <v>1623664</v>
      </c>
      <c r="E224" s="7"/>
    </row>
    <row r="225" spans="1:5" ht="30" thickTop="1" thickBot="1" x14ac:dyDescent="0.4">
      <c r="A225" s="8" t="s">
        <v>99</v>
      </c>
      <c r="B225" s="9">
        <v>7488</v>
      </c>
      <c r="C225" s="9">
        <v>1005</v>
      </c>
      <c r="D225" s="10">
        <v>7525440</v>
      </c>
      <c r="E225" s="7"/>
    </row>
    <row r="226" spans="1:5" ht="30" thickTop="1" thickBot="1" x14ac:dyDescent="0.4">
      <c r="A226" s="8" t="s">
        <v>100</v>
      </c>
      <c r="B226" s="9">
        <v>4263</v>
      </c>
      <c r="C226" s="9">
        <v>497</v>
      </c>
      <c r="D226" s="10">
        <v>2118711</v>
      </c>
      <c r="E226" s="7"/>
    </row>
    <row r="227" spans="1:5" ht="16.8" thickTop="1" thickBot="1" x14ac:dyDescent="0.4">
      <c r="A227" s="8" t="s">
        <v>101</v>
      </c>
      <c r="B227" s="9">
        <v>6686</v>
      </c>
      <c r="C227" s="9">
        <v>1973</v>
      </c>
      <c r="D227" s="10">
        <v>13191478</v>
      </c>
      <c r="E227" s="7"/>
    </row>
    <row r="228" spans="1:5" ht="30" thickTop="1" thickBot="1" x14ac:dyDescent="0.4">
      <c r="A228" s="8" t="s">
        <v>102</v>
      </c>
      <c r="B228" s="9">
        <v>6385</v>
      </c>
      <c r="C228" s="9">
        <v>536</v>
      </c>
      <c r="D228" s="10">
        <v>3422360</v>
      </c>
      <c r="E228" s="7"/>
    </row>
    <row r="229" spans="1:5" ht="30" thickTop="1" thickBot="1" x14ac:dyDescent="0.4">
      <c r="A229" s="8" t="s">
        <v>103</v>
      </c>
      <c r="B229" s="9">
        <v>4810</v>
      </c>
      <c r="C229" s="9">
        <v>772</v>
      </c>
      <c r="D229" s="10">
        <v>3713320</v>
      </c>
      <c r="E229" s="7"/>
    </row>
    <row r="230" spans="1:5" ht="30" thickTop="1" thickBot="1" x14ac:dyDescent="0.4">
      <c r="A230" s="8" t="s">
        <v>104</v>
      </c>
      <c r="B230" s="9">
        <v>11052</v>
      </c>
      <c r="C230" s="9">
        <v>1941</v>
      </c>
      <c r="D230" s="10">
        <v>21451932</v>
      </c>
      <c r="E230" s="7"/>
    </row>
    <row r="231" spans="1:5" ht="30" thickTop="1" thickBot="1" x14ac:dyDescent="0.4">
      <c r="A231" s="8" t="s">
        <v>105</v>
      </c>
      <c r="B231" s="9">
        <v>4554</v>
      </c>
      <c r="C231" s="9">
        <v>946</v>
      </c>
      <c r="D231" s="10">
        <v>4308084</v>
      </c>
      <c r="E231" s="7"/>
    </row>
    <row r="232" spans="1:5" ht="16.8" thickTop="1" thickBot="1" x14ac:dyDescent="0.4">
      <c r="A232" s="8" t="s">
        <v>106</v>
      </c>
      <c r="B232" s="9">
        <v>10295</v>
      </c>
      <c r="C232" s="9">
        <v>566</v>
      </c>
      <c r="D232" s="10">
        <v>5826970</v>
      </c>
      <c r="E232" s="7"/>
    </row>
    <row r="233" spans="1:5" ht="30" thickTop="1" thickBot="1" x14ac:dyDescent="0.4">
      <c r="A233" s="8" t="s">
        <v>107</v>
      </c>
      <c r="B233" s="9">
        <v>9526</v>
      </c>
      <c r="C233" s="9">
        <v>678</v>
      </c>
      <c r="D233" s="10">
        <v>6458628</v>
      </c>
      <c r="E233" s="7"/>
    </row>
    <row r="234" spans="1:5" ht="16.8" thickTop="1" thickBot="1" x14ac:dyDescent="0.4">
      <c r="A234" s="8" t="s">
        <v>108</v>
      </c>
      <c r="B234" s="9">
        <v>8388</v>
      </c>
      <c r="C234" s="9">
        <v>1515</v>
      </c>
      <c r="D234" s="10">
        <v>12707820</v>
      </c>
      <c r="E234" s="7"/>
    </row>
    <row r="235" spans="1:5" ht="30" thickTop="1" thickBot="1" x14ac:dyDescent="0.4">
      <c r="A235" s="8" t="s">
        <v>109</v>
      </c>
      <c r="B235" s="9">
        <v>11310</v>
      </c>
      <c r="C235" s="9">
        <v>1012</v>
      </c>
      <c r="D235" s="10">
        <v>11445720</v>
      </c>
      <c r="E235" s="7"/>
    </row>
    <row r="236" spans="1:5" ht="16.8" thickTop="1" thickBot="1" x14ac:dyDescent="0.4">
      <c r="A236" s="8" t="s">
        <v>110</v>
      </c>
      <c r="B236" s="9">
        <v>10604</v>
      </c>
      <c r="C236" s="9">
        <v>992</v>
      </c>
      <c r="D236" s="10">
        <v>10519168</v>
      </c>
      <c r="E236" s="7"/>
    </row>
    <row r="237" spans="1:5" ht="30" thickTop="1" thickBot="1" x14ac:dyDescent="0.4">
      <c r="A237" s="8" t="s">
        <v>111</v>
      </c>
      <c r="B237" s="9">
        <v>2697</v>
      </c>
      <c r="C237" s="9">
        <v>1501</v>
      </c>
      <c r="D237" s="10">
        <v>4048197</v>
      </c>
      <c r="E237" s="7"/>
    </row>
    <row r="238" spans="1:5" ht="16.8" thickTop="1" thickBot="1" x14ac:dyDescent="0.4">
      <c r="A238" s="8" t="s">
        <v>112</v>
      </c>
      <c r="B238" s="9">
        <v>11124</v>
      </c>
      <c r="C238" s="9">
        <v>1101</v>
      </c>
      <c r="D238" s="10">
        <v>12247524</v>
      </c>
      <c r="E238" s="7"/>
    </row>
    <row r="239" spans="1:5" ht="16.8" thickTop="1" thickBot="1" x14ac:dyDescent="0.4">
      <c r="A239" s="8" t="s">
        <v>114</v>
      </c>
      <c r="B239" s="9">
        <v>2260</v>
      </c>
      <c r="C239" s="9">
        <v>311</v>
      </c>
      <c r="D239" s="10">
        <v>702860</v>
      </c>
      <c r="E239" s="7"/>
    </row>
    <row r="240" spans="1:5" ht="30" thickTop="1" thickBot="1" x14ac:dyDescent="0.4">
      <c r="A240" s="8" t="s">
        <v>117</v>
      </c>
      <c r="B240" s="9">
        <v>4718</v>
      </c>
      <c r="C240" s="9">
        <v>1669</v>
      </c>
      <c r="D240" s="10">
        <v>7874342</v>
      </c>
      <c r="E240" s="7"/>
    </row>
    <row r="241" spans="1:5" ht="30" thickTop="1" thickBot="1" x14ac:dyDescent="0.4">
      <c r="A241" s="8" t="s">
        <v>119</v>
      </c>
      <c r="B241" s="9">
        <v>1142</v>
      </c>
      <c r="C241" s="9">
        <v>1893</v>
      </c>
      <c r="D241" s="10">
        <v>2161806</v>
      </c>
      <c r="E241" s="7"/>
    </row>
    <row r="242" spans="1:5" ht="16.8" thickTop="1" thickBot="1" x14ac:dyDescent="0.4">
      <c r="A242" s="8" t="s">
        <v>122</v>
      </c>
      <c r="B242" s="9">
        <v>2590</v>
      </c>
      <c r="C242" s="9">
        <v>1334</v>
      </c>
      <c r="D242" s="10">
        <v>3455060</v>
      </c>
      <c r="E242" s="7"/>
    </row>
    <row r="243" spans="1:5" ht="16.8" thickTop="1" thickBot="1" x14ac:dyDescent="0.4">
      <c r="A243" s="8" t="s">
        <v>125</v>
      </c>
      <c r="B243" s="9">
        <v>4692</v>
      </c>
      <c r="C243" s="9">
        <v>1598</v>
      </c>
      <c r="D243" s="10">
        <v>7497816</v>
      </c>
      <c r="E243" s="7"/>
    </row>
    <row r="244" spans="1:5" ht="30" thickTop="1" thickBot="1" x14ac:dyDescent="0.4">
      <c r="A244" s="8" t="s">
        <v>127</v>
      </c>
      <c r="B244" s="9">
        <v>2586</v>
      </c>
      <c r="C244" s="9">
        <v>603</v>
      </c>
      <c r="D244" s="10">
        <v>1559358</v>
      </c>
      <c r="E244" s="7"/>
    </row>
    <row r="245" spans="1:5" ht="30" thickTop="1" thickBot="1" x14ac:dyDescent="0.4">
      <c r="A245" s="8" t="s">
        <v>128</v>
      </c>
      <c r="B245" s="9">
        <v>8079</v>
      </c>
      <c r="C245" s="9">
        <v>1967</v>
      </c>
      <c r="D245" s="10">
        <v>15891393</v>
      </c>
      <c r="E245" s="7"/>
    </row>
    <row r="246" spans="1:5" ht="30" thickTop="1" thickBot="1" x14ac:dyDescent="0.4">
      <c r="A246" s="8" t="s">
        <v>129</v>
      </c>
      <c r="B246" s="9">
        <v>7306</v>
      </c>
      <c r="C246" s="9">
        <v>1977</v>
      </c>
      <c r="D246" s="10">
        <v>14443962</v>
      </c>
      <c r="E246" s="7"/>
    </row>
    <row r="247" spans="1:5" ht="16.8" thickTop="1" thickBot="1" x14ac:dyDescent="0.4">
      <c r="A247" s="8" t="s">
        <v>130</v>
      </c>
      <c r="B247" s="9">
        <v>7619</v>
      </c>
      <c r="C247" s="9">
        <v>1864</v>
      </c>
      <c r="D247" s="10">
        <v>14201816</v>
      </c>
      <c r="E247" s="7"/>
    </row>
    <row r="248" spans="1:5" ht="30" thickTop="1" thickBot="1" x14ac:dyDescent="0.4">
      <c r="A248" s="8" t="s">
        <v>131</v>
      </c>
      <c r="B248" s="9">
        <v>2557</v>
      </c>
      <c r="C248" s="9">
        <v>426</v>
      </c>
      <c r="D248" s="10">
        <v>1089282</v>
      </c>
      <c r="E248" s="7"/>
    </row>
    <row r="249" spans="1:5" ht="30" thickTop="1" thickBot="1" x14ac:dyDescent="0.4">
      <c r="A249" s="8" t="s">
        <v>133</v>
      </c>
      <c r="B249" s="9">
        <v>7253</v>
      </c>
      <c r="C249" s="9">
        <v>434</v>
      </c>
      <c r="D249" s="10">
        <v>3147802</v>
      </c>
      <c r="E249" s="7"/>
    </row>
    <row r="250" spans="1:5" ht="30" thickTop="1" thickBot="1" x14ac:dyDescent="0.4">
      <c r="A250" s="8" t="s">
        <v>135</v>
      </c>
      <c r="B250" s="9">
        <v>11100</v>
      </c>
      <c r="C250" s="9">
        <v>983</v>
      </c>
      <c r="D250" s="10">
        <v>10911300</v>
      </c>
      <c r="E250" s="7"/>
    </row>
    <row r="251" spans="1:5" ht="16.8" thickTop="1" thickBot="1" x14ac:dyDescent="0.4">
      <c r="A251" s="8" t="s">
        <v>137</v>
      </c>
      <c r="B251" s="9">
        <v>7512</v>
      </c>
      <c r="C251" s="9">
        <v>544</v>
      </c>
      <c r="D251" s="10">
        <v>4086528</v>
      </c>
      <c r="E251" s="7"/>
    </row>
    <row r="252" spans="1:5" ht="30" thickTop="1" thickBot="1" x14ac:dyDescent="0.4">
      <c r="A252" s="8" t="s">
        <v>140</v>
      </c>
      <c r="B252" s="9">
        <v>10663</v>
      </c>
      <c r="C252" s="9">
        <v>659</v>
      </c>
      <c r="D252" s="10">
        <v>7026917</v>
      </c>
      <c r="E252" s="7"/>
    </row>
    <row r="253" spans="1:5" ht="30" thickTop="1" thickBot="1" x14ac:dyDescent="0.4">
      <c r="A253" s="8" t="s">
        <v>142</v>
      </c>
      <c r="B253" s="9">
        <v>6970</v>
      </c>
      <c r="C253" s="9">
        <v>1110</v>
      </c>
      <c r="D253" s="10">
        <v>7736700</v>
      </c>
      <c r="E253" s="7"/>
    </row>
    <row r="254" spans="1:5" ht="16.8" thickTop="1" thickBot="1" x14ac:dyDescent="0.4">
      <c r="A254" s="8" t="s">
        <v>145</v>
      </c>
      <c r="B254" s="9">
        <v>8787</v>
      </c>
      <c r="C254" s="9">
        <v>1374</v>
      </c>
      <c r="D254" s="10">
        <v>12073338</v>
      </c>
      <c r="E254" s="7"/>
    </row>
    <row r="255" spans="1:5" ht="16.8" thickTop="1" thickBot="1" x14ac:dyDescent="0.4">
      <c r="A255" s="8" t="s">
        <v>148</v>
      </c>
      <c r="B255" s="9">
        <v>10011</v>
      </c>
      <c r="C255" s="9">
        <v>816</v>
      </c>
      <c r="D255" s="10">
        <v>8168976</v>
      </c>
      <c r="E255" s="7"/>
    </row>
    <row r="256" spans="1:5" ht="30" thickTop="1" thickBot="1" x14ac:dyDescent="0.4">
      <c r="A256" s="8" t="s">
        <v>150</v>
      </c>
      <c r="B256" s="9">
        <v>1084</v>
      </c>
      <c r="C256" s="9">
        <v>1040</v>
      </c>
      <c r="D256" s="10">
        <v>1127360</v>
      </c>
      <c r="E256" s="7"/>
    </row>
    <row r="257" spans="1:5" ht="16.8" thickTop="1" thickBot="1" x14ac:dyDescent="0.4">
      <c r="A257" s="8" t="s">
        <v>151</v>
      </c>
      <c r="B257" s="9">
        <v>1455</v>
      </c>
      <c r="C257" s="9">
        <v>1106</v>
      </c>
      <c r="D257" s="10">
        <v>1609230</v>
      </c>
      <c r="E257" s="7"/>
    </row>
    <row r="258" spans="1:5" ht="30" thickTop="1" thickBot="1" x14ac:dyDescent="0.4">
      <c r="A258" s="8" t="s">
        <v>152</v>
      </c>
      <c r="B258" s="9">
        <v>10579</v>
      </c>
      <c r="C258" s="9">
        <v>1792</v>
      </c>
      <c r="D258" s="10">
        <v>18957568</v>
      </c>
      <c r="E258" s="7"/>
    </row>
    <row r="259" spans="1:5" ht="30" thickTop="1" thickBot="1" x14ac:dyDescent="0.4">
      <c r="A259" s="8" t="s">
        <v>153</v>
      </c>
      <c r="B259" s="9">
        <v>3947</v>
      </c>
      <c r="C259" s="9">
        <v>1674</v>
      </c>
      <c r="D259" s="10">
        <v>6607278</v>
      </c>
      <c r="E259" s="7"/>
    </row>
    <row r="260" spans="1:5" ht="30" thickTop="1" thickBot="1" x14ac:dyDescent="0.4">
      <c r="A260" s="8" t="s">
        <v>154</v>
      </c>
      <c r="B260" s="9">
        <v>5399</v>
      </c>
      <c r="C260" s="9">
        <v>1520</v>
      </c>
      <c r="D260" s="10">
        <v>8206480</v>
      </c>
      <c r="E260" s="7"/>
    </row>
    <row r="261" spans="1:5" ht="30" thickTop="1" thickBot="1" x14ac:dyDescent="0.4">
      <c r="A261" s="8" t="s">
        <v>155</v>
      </c>
      <c r="B261" s="9">
        <v>1350</v>
      </c>
      <c r="C261" s="9">
        <v>1778</v>
      </c>
      <c r="D261" s="10">
        <v>2400300</v>
      </c>
      <c r="E261" s="7"/>
    </row>
    <row r="262" spans="1:5" ht="30" thickTop="1" thickBot="1" x14ac:dyDescent="0.4">
      <c r="A262" s="8" t="s">
        <v>156</v>
      </c>
      <c r="B262" s="9">
        <v>5033</v>
      </c>
      <c r="C262" s="9">
        <v>996</v>
      </c>
      <c r="D262" s="10">
        <v>5012868</v>
      </c>
      <c r="E262" s="7"/>
    </row>
    <row r="263" spans="1:5" ht="30" thickTop="1" thickBot="1" x14ac:dyDescent="0.4">
      <c r="A263" s="8" t="s">
        <v>157</v>
      </c>
      <c r="B263" s="9">
        <v>3983</v>
      </c>
      <c r="C263" s="9">
        <v>640</v>
      </c>
      <c r="D263" s="10">
        <v>2549120</v>
      </c>
      <c r="E263" s="7"/>
    </row>
    <row r="264" spans="1:5" ht="30" thickTop="1" thickBot="1" x14ac:dyDescent="0.4">
      <c r="A264" s="8" t="s">
        <v>158</v>
      </c>
      <c r="B264" s="9">
        <v>5292</v>
      </c>
      <c r="C264" s="9">
        <v>1941</v>
      </c>
      <c r="D264" s="10">
        <v>10271772</v>
      </c>
      <c r="E264" s="7"/>
    </row>
    <row r="265" spans="1:5" ht="30" thickTop="1" thickBot="1" x14ac:dyDescent="0.4">
      <c r="A265" s="8" t="s">
        <v>159</v>
      </c>
      <c r="B265" s="9">
        <v>8447</v>
      </c>
      <c r="C265" s="9">
        <v>315</v>
      </c>
      <c r="D265" s="10">
        <v>2660805</v>
      </c>
      <c r="E265" s="7"/>
    </row>
    <row r="266" spans="1:5" ht="16.8" thickTop="1" thickBot="1" x14ac:dyDescent="0.4">
      <c r="A266" s="8" t="s">
        <v>160</v>
      </c>
      <c r="B266" s="9">
        <v>4750</v>
      </c>
      <c r="C266" s="9">
        <v>2000</v>
      </c>
      <c r="D266" s="10">
        <v>9500000</v>
      </c>
      <c r="E266" s="7"/>
    </row>
    <row r="267" spans="1:5" ht="16.8" thickTop="1" thickBot="1" x14ac:dyDescent="0.4">
      <c r="A267" s="8" t="s">
        <v>161</v>
      </c>
      <c r="B267" s="9">
        <v>9406</v>
      </c>
      <c r="C267" s="9">
        <v>1937</v>
      </c>
      <c r="D267" s="10">
        <v>18219422</v>
      </c>
      <c r="E267" s="7"/>
    </row>
    <row r="268" spans="1:5" ht="30" thickTop="1" thickBot="1" x14ac:dyDescent="0.4">
      <c r="A268" s="8" t="s">
        <v>163</v>
      </c>
      <c r="B268" s="9">
        <v>2899</v>
      </c>
      <c r="C268" s="9">
        <v>1068</v>
      </c>
      <c r="D268" s="10">
        <v>3096132</v>
      </c>
      <c r="E268" s="7"/>
    </row>
    <row r="269" spans="1:5" ht="30" thickTop="1" thickBot="1" x14ac:dyDescent="0.4">
      <c r="A269" s="8" t="s">
        <v>164</v>
      </c>
      <c r="B269" s="9">
        <v>9869</v>
      </c>
      <c r="C269" s="9">
        <v>735</v>
      </c>
      <c r="D269" s="10">
        <v>7253715</v>
      </c>
      <c r="E269" s="7"/>
    </row>
    <row r="270" spans="1:5" ht="30" thickTop="1" thickBot="1" x14ac:dyDescent="0.4">
      <c r="A270" s="8" t="s">
        <v>165</v>
      </c>
      <c r="B270" s="9">
        <v>11246</v>
      </c>
      <c r="C270" s="9">
        <v>763</v>
      </c>
      <c r="D270" s="10">
        <v>8580698</v>
      </c>
      <c r="E270" s="7"/>
    </row>
    <row r="271" spans="1:5" ht="30" thickTop="1" thickBot="1" x14ac:dyDescent="0.4">
      <c r="A271" s="8" t="s">
        <v>166</v>
      </c>
      <c r="B271" s="9">
        <v>8324</v>
      </c>
      <c r="C271" s="9">
        <v>1449</v>
      </c>
      <c r="D271" s="10">
        <v>12061476</v>
      </c>
      <c r="E271" s="7"/>
    </row>
    <row r="272" spans="1:5" ht="30" thickTop="1" thickBot="1" x14ac:dyDescent="0.4">
      <c r="A272" s="8" t="s">
        <v>167</v>
      </c>
      <c r="B272" s="9">
        <v>9700</v>
      </c>
      <c r="C272" s="9">
        <v>535</v>
      </c>
      <c r="D272" s="10">
        <v>5189500</v>
      </c>
      <c r="E272" s="7"/>
    </row>
    <row r="273" spans="1:5" ht="30" thickTop="1" thickBot="1" x14ac:dyDescent="0.4">
      <c r="A273" s="8" t="s">
        <v>168</v>
      </c>
      <c r="B273" s="9">
        <v>9291</v>
      </c>
      <c r="C273" s="9">
        <v>1215</v>
      </c>
      <c r="D273" s="10">
        <v>11288565</v>
      </c>
      <c r="E273" s="7"/>
    </row>
    <row r="274" spans="1:5" ht="30" thickTop="1" thickBot="1" x14ac:dyDescent="0.4">
      <c r="A274" s="8" t="s">
        <v>169</v>
      </c>
      <c r="B274" s="9">
        <v>10131</v>
      </c>
      <c r="C274" s="9">
        <v>1474</v>
      </c>
      <c r="D274" s="10">
        <v>14933094</v>
      </c>
      <c r="E274" s="7"/>
    </row>
    <row r="275" spans="1:5" ht="30" thickTop="1" thickBot="1" x14ac:dyDescent="0.4">
      <c r="A275" s="8" t="s">
        <v>170</v>
      </c>
      <c r="B275" s="9">
        <v>2809</v>
      </c>
      <c r="C275" s="9">
        <v>809</v>
      </c>
      <c r="D275" s="10">
        <v>2272481</v>
      </c>
      <c r="E275" s="7"/>
    </row>
    <row r="276" spans="1:5" ht="16.8" thickTop="1" thickBot="1" x14ac:dyDescent="0.4">
      <c r="A276" s="8" t="s">
        <v>171</v>
      </c>
      <c r="B276" s="9">
        <v>1763</v>
      </c>
      <c r="C276" s="9">
        <v>1998</v>
      </c>
      <c r="D276" s="10">
        <v>3522474</v>
      </c>
      <c r="E276" s="7"/>
    </row>
    <row r="277" spans="1:5" ht="16.8" thickTop="1" thickBot="1" x14ac:dyDescent="0.4">
      <c r="A277" s="8" t="s">
        <v>172</v>
      </c>
      <c r="B277" s="9">
        <v>6171</v>
      </c>
      <c r="C277" s="9">
        <v>962</v>
      </c>
      <c r="D277" s="10">
        <v>5936502</v>
      </c>
      <c r="E277" s="7"/>
    </row>
    <row r="278" spans="1:5" ht="30" thickTop="1" thickBot="1" x14ac:dyDescent="0.4">
      <c r="A278" s="8" t="s">
        <v>173</v>
      </c>
      <c r="B278" s="9">
        <v>1334</v>
      </c>
      <c r="C278" s="9">
        <v>450</v>
      </c>
      <c r="D278" s="10">
        <v>600300</v>
      </c>
      <c r="E278" s="7"/>
    </row>
    <row r="279" spans="1:5" ht="30" thickTop="1" thickBot="1" x14ac:dyDescent="0.4">
      <c r="A279" s="8" t="s">
        <v>174</v>
      </c>
      <c r="B279" s="9">
        <v>3535</v>
      </c>
      <c r="C279" s="9">
        <v>1657</v>
      </c>
      <c r="D279" s="10">
        <v>5857495</v>
      </c>
      <c r="E279" s="7"/>
    </row>
    <row r="280" spans="1:5" ht="16.8" thickTop="1" thickBot="1" x14ac:dyDescent="0.4">
      <c r="A280" s="8" t="s">
        <v>175</v>
      </c>
      <c r="B280" s="9">
        <v>7186</v>
      </c>
      <c r="C280" s="9">
        <v>1976</v>
      </c>
      <c r="D280" s="10">
        <v>14199536</v>
      </c>
      <c r="E280" s="7"/>
    </row>
    <row r="281" spans="1:5" ht="30" thickTop="1" thickBot="1" x14ac:dyDescent="0.4">
      <c r="A281" s="8" t="s">
        <v>176</v>
      </c>
      <c r="B281" s="9">
        <v>1692</v>
      </c>
      <c r="C281" s="9">
        <v>1107</v>
      </c>
      <c r="D281" s="10">
        <v>1873044</v>
      </c>
      <c r="E281" s="7"/>
    </row>
    <row r="282" spans="1:5" ht="16.8" thickTop="1" thickBot="1" x14ac:dyDescent="0.4">
      <c r="A282" s="8" t="s">
        <v>177</v>
      </c>
      <c r="B282" s="9">
        <v>10377</v>
      </c>
      <c r="C282" s="9">
        <v>1680</v>
      </c>
      <c r="D282" s="10">
        <v>17433360</v>
      </c>
      <c r="E282" s="7"/>
    </row>
    <row r="283" spans="1:5" ht="30" thickTop="1" thickBot="1" x14ac:dyDescent="0.4">
      <c r="A283" s="8" t="s">
        <v>178</v>
      </c>
      <c r="B283" s="9">
        <v>6352</v>
      </c>
      <c r="C283" s="9">
        <v>842</v>
      </c>
      <c r="D283" s="10">
        <v>5348384</v>
      </c>
      <c r="E283" s="7"/>
    </row>
    <row r="284" spans="1:5" ht="30" thickTop="1" thickBot="1" x14ac:dyDescent="0.4">
      <c r="A284" s="8" t="s">
        <v>179</v>
      </c>
      <c r="B284" s="9">
        <v>8579</v>
      </c>
      <c r="C284" s="9">
        <v>1021</v>
      </c>
      <c r="D284" s="10">
        <v>8759159</v>
      </c>
      <c r="E284" s="7"/>
    </row>
    <row r="285" spans="1:5" ht="30" thickTop="1" thickBot="1" x14ac:dyDescent="0.4">
      <c r="A285" s="8" t="s">
        <v>180</v>
      </c>
      <c r="B285" s="9">
        <v>9960</v>
      </c>
      <c r="C285" s="9">
        <v>574</v>
      </c>
      <c r="D285" s="10">
        <v>5717040</v>
      </c>
      <c r="E285" s="7"/>
    </row>
    <row r="286" spans="1:5" ht="30" thickTop="1" thickBot="1" x14ac:dyDescent="0.4">
      <c r="A286" s="8" t="s">
        <v>181</v>
      </c>
      <c r="B286" s="9">
        <v>9546</v>
      </c>
      <c r="C286" s="9">
        <v>1411</v>
      </c>
      <c r="D286" s="10">
        <v>13469406</v>
      </c>
      <c r="E286" s="7"/>
    </row>
    <row r="287" spans="1:5" ht="30" thickTop="1" thickBot="1" x14ac:dyDescent="0.4">
      <c r="A287" s="8" t="s">
        <v>182</v>
      </c>
      <c r="B287" s="9">
        <v>2508</v>
      </c>
      <c r="C287" s="9">
        <v>719</v>
      </c>
      <c r="D287" s="10">
        <v>1803252</v>
      </c>
      <c r="E287" s="7"/>
    </row>
    <row r="288" spans="1:5" ht="30" thickTop="1" thickBot="1" x14ac:dyDescent="0.4">
      <c r="A288" s="8" t="s">
        <v>183</v>
      </c>
      <c r="B288" s="9">
        <v>9929</v>
      </c>
      <c r="C288" s="9">
        <v>1327</v>
      </c>
      <c r="D288" s="10">
        <v>13175783</v>
      </c>
      <c r="E288" s="7"/>
    </row>
    <row r="289" spans="1:5" ht="16.8" thickTop="1" thickBot="1" x14ac:dyDescent="0.4">
      <c r="A289" s="8" t="s">
        <v>184</v>
      </c>
      <c r="B289" s="9">
        <v>2022</v>
      </c>
      <c r="C289" s="9">
        <v>1241</v>
      </c>
      <c r="D289" s="10">
        <v>2509302</v>
      </c>
      <c r="E289" s="7"/>
    </row>
    <row r="290" spans="1:5" ht="30" thickTop="1" thickBot="1" x14ac:dyDescent="0.4">
      <c r="A290" s="8" t="s">
        <v>185</v>
      </c>
      <c r="B290" s="9">
        <v>3399</v>
      </c>
      <c r="C290" s="9">
        <v>1002</v>
      </c>
      <c r="D290" s="10">
        <v>3405798</v>
      </c>
      <c r="E290" s="7"/>
    </row>
    <row r="291" spans="1:5" ht="30" thickTop="1" thickBot="1" x14ac:dyDescent="0.4">
      <c r="A291" s="8" t="s">
        <v>186</v>
      </c>
      <c r="B291" s="9">
        <v>1585</v>
      </c>
      <c r="C291" s="9">
        <v>490</v>
      </c>
      <c r="D291" s="10">
        <v>776650</v>
      </c>
      <c r="E291" s="7"/>
    </row>
    <row r="292" spans="1:5" ht="30" thickTop="1" thickBot="1" x14ac:dyDescent="0.4">
      <c r="A292" s="8" t="s">
        <v>187</v>
      </c>
      <c r="B292" s="9">
        <v>4043</v>
      </c>
      <c r="C292" s="9">
        <v>940</v>
      </c>
      <c r="D292" s="10">
        <v>3800420</v>
      </c>
      <c r="E292" s="7"/>
    </row>
    <row r="293" spans="1:5" ht="30" thickTop="1" thickBot="1" x14ac:dyDescent="0.4">
      <c r="A293" s="8" t="s">
        <v>188</v>
      </c>
      <c r="B293" s="9">
        <v>2300</v>
      </c>
      <c r="C293" s="9">
        <v>1666</v>
      </c>
      <c r="D293" s="10">
        <v>3831800</v>
      </c>
      <c r="E293" s="7"/>
    </row>
    <row r="294" spans="1:5" ht="16.8" thickTop="1" thickBot="1" x14ac:dyDescent="0.4">
      <c r="A294" s="8" t="s">
        <v>189</v>
      </c>
      <c r="B294" s="9">
        <v>1947</v>
      </c>
      <c r="C294" s="9">
        <v>1669</v>
      </c>
      <c r="D294" s="10">
        <v>3249543</v>
      </c>
      <c r="E294" s="7"/>
    </row>
    <row r="295" spans="1:5" ht="30" thickTop="1" thickBot="1" x14ac:dyDescent="0.4">
      <c r="A295" s="8" t="s">
        <v>389</v>
      </c>
      <c r="B295" s="9">
        <v>3007</v>
      </c>
      <c r="C295" s="9">
        <v>1494</v>
      </c>
      <c r="D295" s="10">
        <v>4492458</v>
      </c>
      <c r="E295" s="7"/>
    </row>
    <row r="296" spans="1:5" ht="30" thickTop="1" thickBot="1" x14ac:dyDescent="0.4">
      <c r="A296" s="8" t="s">
        <v>358</v>
      </c>
      <c r="B296" s="9">
        <v>4384</v>
      </c>
      <c r="C296" s="9">
        <v>499</v>
      </c>
      <c r="D296" s="10">
        <v>2187616</v>
      </c>
      <c r="E296" s="7"/>
    </row>
    <row r="297" spans="1:5" ht="16.8" thickTop="1" thickBot="1" x14ac:dyDescent="0.4">
      <c r="A297" s="8" t="s">
        <v>390</v>
      </c>
      <c r="B297" s="9">
        <v>9088</v>
      </c>
      <c r="C297" s="9">
        <v>1621</v>
      </c>
      <c r="D297" s="10">
        <v>14731648</v>
      </c>
      <c r="E297" s="7"/>
    </row>
    <row r="298" spans="1:5" ht="30" thickTop="1" thickBot="1" x14ac:dyDescent="0.4">
      <c r="A298" s="8" t="s">
        <v>391</v>
      </c>
      <c r="B298" s="9">
        <v>2594</v>
      </c>
      <c r="C298" s="9">
        <v>613</v>
      </c>
      <c r="D298" s="10">
        <v>1590122</v>
      </c>
      <c r="E298" s="7"/>
    </row>
    <row r="299" spans="1:5" ht="30" thickTop="1" thickBot="1" x14ac:dyDescent="0.4">
      <c r="A299" s="8" t="s">
        <v>317</v>
      </c>
      <c r="B299" s="9">
        <v>8331</v>
      </c>
      <c r="C299" s="9">
        <v>1974</v>
      </c>
      <c r="D299" s="10">
        <v>16445394</v>
      </c>
      <c r="E299" s="7"/>
    </row>
    <row r="300" spans="1:5" ht="16.8" thickTop="1" thickBot="1" x14ac:dyDescent="0.4">
      <c r="A300" s="8" t="s">
        <v>392</v>
      </c>
      <c r="B300" s="9">
        <v>6144</v>
      </c>
      <c r="C300" s="9">
        <v>375</v>
      </c>
      <c r="D300" s="10">
        <v>2304000</v>
      </c>
      <c r="E300" s="7"/>
    </row>
    <row r="301" spans="1:5" ht="30" thickTop="1" thickBot="1" x14ac:dyDescent="0.4">
      <c r="A301" s="8" t="s">
        <v>315</v>
      </c>
      <c r="B301" s="9">
        <v>7965</v>
      </c>
      <c r="C301" s="9">
        <v>983</v>
      </c>
      <c r="D301" s="10">
        <v>7829595</v>
      </c>
      <c r="E301" s="7"/>
    </row>
    <row r="302" spans="1:5" ht="16.8" thickTop="1" thickBot="1" x14ac:dyDescent="0.4">
      <c r="A302" s="8" t="s">
        <v>393</v>
      </c>
      <c r="B302" s="9">
        <v>10803</v>
      </c>
      <c r="C302" s="9">
        <v>937</v>
      </c>
      <c r="D302" s="10">
        <v>10122411</v>
      </c>
      <c r="E302" s="7"/>
    </row>
    <row r="303" spans="1:5" ht="30" thickTop="1" thickBot="1" x14ac:dyDescent="0.4">
      <c r="A303" s="8" t="s">
        <v>394</v>
      </c>
      <c r="B303" s="9">
        <v>6999</v>
      </c>
      <c r="C303" s="9">
        <v>659</v>
      </c>
      <c r="D303" s="10">
        <v>4612341</v>
      </c>
      <c r="E303" s="7"/>
    </row>
    <row r="304" spans="1:5" ht="16.8" thickTop="1" thickBot="1" x14ac:dyDescent="0.4">
      <c r="A304" s="8" t="s">
        <v>395</v>
      </c>
      <c r="B304" s="9">
        <v>10366</v>
      </c>
      <c r="C304" s="9">
        <v>1208</v>
      </c>
      <c r="D304" s="10">
        <v>12522128</v>
      </c>
      <c r="E304" s="7"/>
    </row>
    <row r="305" spans="1:5" ht="30" thickTop="1" thickBot="1" x14ac:dyDescent="0.4">
      <c r="A305" s="8" t="s">
        <v>396</v>
      </c>
      <c r="B305" s="9">
        <v>7683</v>
      </c>
      <c r="C305" s="9">
        <v>596</v>
      </c>
      <c r="D305" s="10">
        <v>4579068</v>
      </c>
      <c r="E305" s="7"/>
    </row>
    <row r="306" spans="1:5" ht="30" thickTop="1" thickBot="1" x14ac:dyDescent="0.4">
      <c r="A306" s="8" t="s">
        <v>397</v>
      </c>
      <c r="B306" s="9">
        <v>11334</v>
      </c>
      <c r="C306" s="9">
        <v>1479</v>
      </c>
      <c r="D306" s="10">
        <v>16762986</v>
      </c>
      <c r="E306" s="7"/>
    </row>
    <row r="307" spans="1:5" ht="16.8" thickTop="1" thickBot="1" x14ac:dyDescent="0.4">
      <c r="A307" s="8" t="s">
        <v>398</v>
      </c>
      <c r="B307" s="9">
        <v>2566</v>
      </c>
      <c r="C307" s="9">
        <v>1365</v>
      </c>
      <c r="D307" s="10">
        <v>3502590</v>
      </c>
      <c r="E307" s="7"/>
    </row>
    <row r="308" spans="1:5" ht="30" thickTop="1" thickBot="1" x14ac:dyDescent="0.4">
      <c r="A308" s="8" t="s">
        <v>399</v>
      </c>
      <c r="B308" s="9">
        <v>8761</v>
      </c>
      <c r="C308" s="9">
        <v>1590</v>
      </c>
      <c r="D308" s="10">
        <v>13929990</v>
      </c>
      <c r="E308" s="7"/>
    </row>
    <row r="309" spans="1:5" ht="16.8" thickTop="1" thickBot="1" x14ac:dyDescent="0.4">
      <c r="A309" s="8" t="s">
        <v>400</v>
      </c>
      <c r="B309" s="9">
        <v>2168</v>
      </c>
      <c r="C309" s="9">
        <v>1065</v>
      </c>
      <c r="D309" s="10">
        <v>2308920</v>
      </c>
      <c r="E309" s="7"/>
    </row>
    <row r="310" spans="1:5" ht="16.8" thickTop="1" thickBot="1" x14ac:dyDescent="0.4">
      <c r="A310" s="8" t="s">
        <v>401</v>
      </c>
      <c r="B310" s="9">
        <v>2732</v>
      </c>
      <c r="C310" s="9">
        <v>1278</v>
      </c>
      <c r="D310" s="10">
        <v>3491496</v>
      </c>
      <c r="E310" s="7"/>
    </row>
    <row r="311" spans="1:5" ht="30" thickTop="1" thickBot="1" x14ac:dyDescent="0.4">
      <c r="A311" s="8" t="s">
        <v>402</v>
      </c>
      <c r="B311" s="9">
        <v>11624</v>
      </c>
      <c r="C311" s="9">
        <v>309</v>
      </c>
      <c r="D311" s="10">
        <v>3591816</v>
      </c>
      <c r="E311" s="7"/>
    </row>
    <row r="312" spans="1:5" ht="16.8" thickTop="1" thickBot="1" x14ac:dyDescent="0.4">
      <c r="A312" s="8" t="s">
        <v>403</v>
      </c>
      <c r="B312" s="9">
        <v>6111</v>
      </c>
      <c r="C312" s="9">
        <v>1630</v>
      </c>
      <c r="D312" s="10">
        <v>9960930</v>
      </c>
      <c r="E312" s="7"/>
    </row>
    <row r="313" spans="1:5" ht="16.8" thickTop="1" thickBot="1" x14ac:dyDescent="0.4">
      <c r="A313" s="8" t="s">
        <v>404</v>
      </c>
      <c r="B313" s="9">
        <v>3928</v>
      </c>
      <c r="C313" s="9">
        <v>1888</v>
      </c>
      <c r="D313" s="10">
        <v>7416064</v>
      </c>
      <c r="E313" s="7"/>
    </row>
    <row r="314" spans="1:5" ht="30" thickTop="1" thickBot="1" x14ac:dyDescent="0.4">
      <c r="A314" s="8" t="s">
        <v>405</v>
      </c>
      <c r="B314" s="9">
        <v>5745</v>
      </c>
      <c r="C314" s="9">
        <v>1545</v>
      </c>
      <c r="D314" s="10">
        <v>8876025</v>
      </c>
      <c r="E314" s="7"/>
    </row>
    <row r="315" spans="1:5" ht="30" thickTop="1" thickBot="1" x14ac:dyDescent="0.4">
      <c r="A315" s="8" t="s">
        <v>406</v>
      </c>
      <c r="B315" s="9">
        <v>3686</v>
      </c>
      <c r="C315" s="9">
        <v>1444</v>
      </c>
      <c r="D315" s="10">
        <v>5322584</v>
      </c>
      <c r="E315" s="7"/>
    </row>
    <row r="316" spans="1:5" ht="16.8" thickTop="1" thickBot="1" x14ac:dyDescent="0.4">
      <c r="A316" s="8" t="s">
        <v>407</v>
      </c>
      <c r="B316" s="9">
        <v>5032</v>
      </c>
      <c r="C316" s="9">
        <v>1673</v>
      </c>
      <c r="D316" s="10">
        <v>8418536</v>
      </c>
      <c r="E316" s="7"/>
    </row>
    <row r="317" spans="1:5" ht="16.8" thickTop="1" thickBot="1" x14ac:dyDescent="0.4">
      <c r="A317" s="8" t="s">
        <v>408</v>
      </c>
      <c r="B317" s="9">
        <v>9526</v>
      </c>
      <c r="C317" s="9">
        <v>482</v>
      </c>
      <c r="D317" s="10">
        <v>4591532</v>
      </c>
      <c r="E317" s="7"/>
    </row>
    <row r="318" spans="1:5" ht="16.8" thickTop="1" thickBot="1" x14ac:dyDescent="0.4">
      <c r="A318" s="7"/>
      <c r="B318" s="7"/>
      <c r="C318" s="7"/>
      <c r="D318" s="13">
        <f>SUM(D2:D317)</f>
        <v>2255458127.1999998</v>
      </c>
      <c r="E3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DASHBOARD</vt:lpstr>
      <vt:lpstr>Sheet6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</dc:creator>
  <cp:lastModifiedBy>Harshita</cp:lastModifiedBy>
  <cp:lastPrinted>2026-03-13T08:52:31Z</cp:lastPrinted>
  <dcterms:created xsi:type="dcterms:W3CDTF">2026-03-12T10:08:12Z</dcterms:created>
  <dcterms:modified xsi:type="dcterms:W3CDTF">2026-03-13T10:40:45Z</dcterms:modified>
</cp:coreProperties>
</file>